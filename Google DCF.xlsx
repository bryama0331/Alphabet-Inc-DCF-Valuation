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alv\OneDrive - Princeton University\Documents\"/>
    </mc:Choice>
  </mc:AlternateContent>
  <xr:revisionPtr revIDLastSave="0" documentId="13_ncr:1_{2838E08B-9A50-4C8E-8251-87C10AD4905A}" xr6:coauthVersionLast="47" xr6:coauthVersionMax="47" xr10:uidLastSave="{00000000-0000-0000-0000-000000000000}"/>
  <bookViews>
    <workbookView xWindow="-120" yWindow="-120" windowWidth="29040" windowHeight="15840" activeTab="3" xr2:uid="{321EEEFA-BC16-41CF-B06C-A7DDD0970A83}"/>
  </bookViews>
  <sheets>
    <sheet name="Assumptions" sheetId="1" r:id="rId1"/>
    <sheet name="Comparable Analysis" sheetId="5" r:id="rId2"/>
    <sheet name="Scenarios" sheetId="2" r:id="rId3"/>
    <sheet name="Financial Modeling + DCF" sheetId="3" r:id="rId4"/>
    <sheet name="Wacc" sheetId="4" r:id="rId5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6" i="3" l="1"/>
  <c r="L65" i="3"/>
  <c r="L64" i="3"/>
  <c r="C16" i="4"/>
  <c r="C12" i="4"/>
  <c r="R28" i="3"/>
  <c r="S28" i="3"/>
  <c r="T28" i="3"/>
  <c r="U28" i="3"/>
  <c r="Q28" i="3"/>
  <c r="R26" i="3"/>
  <c r="S26" i="3"/>
  <c r="T26" i="3"/>
  <c r="U26" i="3"/>
  <c r="Q26" i="3"/>
  <c r="M35" i="3"/>
  <c r="N55" i="3"/>
  <c r="J47" i="3" l="1"/>
  <c r="C9" i="4"/>
  <c r="C4" i="4"/>
  <c r="C14" i="4"/>
  <c r="C8" i="4"/>
  <c r="C7" i="4" l="1"/>
  <c r="I40" i="3" l="1"/>
  <c r="H40" i="3"/>
  <c r="G40" i="3"/>
  <c r="H38" i="3"/>
  <c r="I38" i="3"/>
  <c r="G38" i="3"/>
  <c r="I33" i="3"/>
  <c r="I35" i="3" s="1"/>
  <c r="H33" i="3"/>
  <c r="H35" i="3" s="1"/>
  <c r="G33" i="3"/>
  <c r="G35" i="3" s="1"/>
  <c r="H30" i="3"/>
  <c r="I30" i="3"/>
  <c r="G30" i="3"/>
  <c r="J30" i="3" s="1"/>
  <c r="H23" i="3"/>
  <c r="H27" i="3" s="1"/>
  <c r="I23" i="3"/>
  <c r="I27" i="3" s="1"/>
  <c r="G23" i="3"/>
  <c r="G27" i="3" s="1"/>
  <c r="K22" i="3"/>
  <c r="L22" i="3"/>
  <c r="M22" i="3"/>
  <c r="N22" i="3"/>
  <c r="J22" i="3"/>
  <c r="J21" i="3" s="1"/>
  <c r="K21" i="3" s="1"/>
  <c r="L21" i="3" s="1"/>
  <c r="M21" i="3" s="1"/>
  <c r="N21" i="3" s="1"/>
  <c r="I22" i="3"/>
  <c r="H22" i="3"/>
  <c r="G22" i="3"/>
  <c r="I20" i="3"/>
  <c r="H20" i="3"/>
  <c r="G20" i="3"/>
  <c r="K18" i="3"/>
  <c r="L18" i="3"/>
  <c r="M18" i="3"/>
  <c r="N18" i="3"/>
  <c r="J18" i="3"/>
  <c r="J17" i="3" s="1"/>
  <c r="I18" i="3"/>
  <c r="H18" i="3"/>
  <c r="G18" i="3"/>
  <c r="N16" i="3"/>
  <c r="I16" i="3"/>
  <c r="H16" i="3"/>
  <c r="G16" i="3"/>
  <c r="K14" i="3"/>
  <c r="L14" i="3"/>
  <c r="M14" i="3"/>
  <c r="N14" i="3"/>
  <c r="J14" i="3"/>
  <c r="J13" i="3" s="1"/>
  <c r="I14" i="3"/>
  <c r="H14" i="3"/>
  <c r="G14" i="3"/>
  <c r="I12" i="3"/>
  <c r="H12" i="3"/>
  <c r="G12" i="3"/>
  <c r="H40" i="2"/>
  <c r="I40" i="2"/>
  <c r="J40" i="2"/>
  <c r="K40" i="2"/>
  <c r="H34" i="2"/>
  <c r="K20" i="3" s="1"/>
  <c r="I34" i="2"/>
  <c r="L20" i="3" s="1"/>
  <c r="J34" i="2"/>
  <c r="M20" i="3" s="1"/>
  <c r="K34" i="2"/>
  <c r="N20" i="3" s="1"/>
  <c r="H28" i="2"/>
  <c r="I28" i="2"/>
  <c r="J28" i="2"/>
  <c r="K28" i="2"/>
  <c r="H22" i="2"/>
  <c r="K16" i="3" s="1"/>
  <c r="I22" i="2"/>
  <c r="L16" i="3" s="1"/>
  <c r="J22" i="2"/>
  <c r="M16" i="3" s="1"/>
  <c r="K22" i="2"/>
  <c r="H16" i="2"/>
  <c r="I16" i="2"/>
  <c r="J16" i="2"/>
  <c r="K16" i="2"/>
  <c r="G40" i="2"/>
  <c r="G34" i="2"/>
  <c r="J20" i="3" s="1"/>
  <c r="J19" i="3" s="1"/>
  <c r="K19" i="3" s="1"/>
  <c r="G28" i="2"/>
  <c r="G22" i="2"/>
  <c r="J16" i="3" s="1"/>
  <c r="J15" i="3" s="1"/>
  <c r="G16" i="2"/>
  <c r="G10" i="2"/>
  <c r="J12" i="3" s="1"/>
  <c r="J11" i="3" s="1"/>
  <c r="H10" i="2"/>
  <c r="K12" i="3" s="1"/>
  <c r="I10" i="2"/>
  <c r="L12" i="3" s="1"/>
  <c r="J10" i="2"/>
  <c r="M12" i="3" s="1"/>
  <c r="K10" i="2"/>
  <c r="N12" i="3" s="1"/>
  <c r="W18" i="1"/>
  <c r="V18" i="1"/>
  <c r="U18" i="1"/>
  <c r="T18" i="1"/>
  <c r="W16" i="1"/>
  <c r="V16" i="1"/>
  <c r="U16" i="1"/>
  <c r="T16" i="1"/>
  <c r="W14" i="1"/>
  <c r="V14" i="1"/>
  <c r="U14" i="1"/>
  <c r="T14" i="1"/>
  <c r="W12" i="1"/>
  <c r="V12" i="1"/>
  <c r="U12" i="1"/>
  <c r="T12" i="1"/>
  <c r="W10" i="1"/>
  <c r="W9" i="1"/>
  <c r="W8" i="1"/>
  <c r="W7" i="1"/>
  <c r="K11" i="3" l="1"/>
  <c r="L11" i="3" s="1"/>
  <c r="M11" i="3" s="1"/>
  <c r="N11" i="3" s="1"/>
  <c r="G34" i="3"/>
  <c r="I34" i="3"/>
  <c r="H34" i="3"/>
  <c r="G41" i="3"/>
  <c r="H41" i="3"/>
  <c r="K13" i="3"/>
  <c r="L13" i="3" s="1"/>
  <c r="M13" i="3" s="1"/>
  <c r="N13" i="3" s="1"/>
  <c r="I41" i="3"/>
  <c r="K17" i="3"/>
  <c r="L17" i="3" s="1"/>
  <c r="M17" i="3" s="1"/>
  <c r="N17" i="3" s="1"/>
  <c r="H24" i="3"/>
  <c r="H42" i="3" s="1"/>
  <c r="K30" i="3"/>
  <c r="G24" i="3"/>
  <c r="G42" i="3" s="1"/>
  <c r="J42" i="3" s="1"/>
  <c r="I24" i="3"/>
  <c r="I42" i="3" s="1"/>
  <c r="J23" i="3"/>
  <c r="J26" i="3" s="1"/>
  <c r="L19" i="3"/>
  <c r="M19" i="3" s="1"/>
  <c r="N19" i="3" s="1"/>
  <c r="K15" i="3"/>
  <c r="K42" i="3" l="1"/>
  <c r="J24" i="3"/>
  <c r="J41" i="3" s="1"/>
  <c r="J40" i="3" s="1"/>
  <c r="J48" i="3" s="1"/>
  <c r="J38" i="3"/>
  <c r="L30" i="3"/>
  <c r="K23" i="3"/>
  <c r="K26" i="3" s="1"/>
  <c r="K29" i="3" s="1"/>
  <c r="L15" i="3"/>
  <c r="K24" i="3" l="1"/>
  <c r="K38" i="3"/>
  <c r="K37" i="3" s="1"/>
  <c r="K47" i="3" s="1"/>
  <c r="J35" i="3"/>
  <c r="K41" i="3"/>
  <c r="K40" i="3" s="1"/>
  <c r="K48" i="3" s="1"/>
  <c r="L42" i="3"/>
  <c r="M30" i="3"/>
  <c r="M15" i="3"/>
  <c r="L23" i="3"/>
  <c r="L26" i="3" s="1"/>
  <c r="L24" i="3" l="1"/>
  <c r="L37" i="3"/>
  <c r="L47" i="3" s="1"/>
  <c r="M42" i="3"/>
  <c r="L41" i="3"/>
  <c r="L40" i="3" s="1"/>
  <c r="L48" i="3" s="1"/>
  <c r="J33" i="3"/>
  <c r="N35" i="3"/>
  <c r="N30" i="3"/>
  <c r="N15" i="3"/>
  <c r="N23" i="3" s="1"/>
  <c r="M23" i="3"/>
  <c r="M26" i="3" s="1"/>
  <c r="N37" i="3" l="1"/>
  <c r="N47" i="3" s="1"/>
  <c r="N26" i="3"/>
  <c r="J34" i="3"/>
  <c r="J46" i="3"/>
  <c r="L33" i="3"/>
  <c r="M24" i="3"/>
  <c r="M41" i="3" s="1"/>
  <c r="M40" i="3" s="1"/>
  <c r="M48" i="3" s="1"/>
  <c r="M37" i="3"/>
  <c r="N42" i="3"/>
  <c r="K33" i="3"/>
  <c r="N24" i="3"/>
  <c r="N33" i="3" l="1"/>
  <c r="K34" i="3"/>
  <c r="K46" i="3"/>
  <c r="M33" i="3"/>
  <c r="M47" i="3"/>
  <c r="L34" i="3"/>
  <c r="L46" i="3"/>
  <c r="N34" i="3"/>
  <c r="N46" i="3"/>
  <c r="N41" i="3"/>
  <c r="N40" i="3" s="1"/>
  <c r="N48" i="3" s="1"/>
  <c r="M34" i="3" l="1"/>
  <c r="M46" i="3"/>
  <c r="K45" i="3" l="1"/>
  <c r="K49" i="3" s="1"/>
  <c r="K51" i="3" s="1"/>
  <c r="J29" i="3"/>
  <c r="J45" i="3" s="1"/>
  <c r="J49" i="3" s="1"/>
  <c r="J51" i="3" s="1"/>
  <c r="L29" i="3" l="1"/>
  <c r="L45" i="3" s="1"/>
  <c r="L49" i="3" s="1"/>
  <c r="L51" i="3" s="1"/>
  <c r="M29" i="3" l="1"/>
  <c r="M45" i="3" s="1"/>
  <c r="M49" i="3" s="1"/>
  <c r="M51" i="3" s="1"/>
  <c r="N29" i="3" l="1"/>
  <c r="N45" i="3" s="1"/>
  <c r="N49" i="3" s="1"/>
  <c r="N51" i="3" l="1"/>
  <c r="N52" i="3"/>
  <c r="N53" i="3" s="1"/>
  <c r="N54" i="3" l="1"/>
  <c r="N57" i="3" s="1"/>
  <c r="N60" i="3" s="1"/>
</calcChain>
</file>

<file path=xl/sharedStrings.xml><?xml version="1.0" encoding="utf-8"?>
<sst xmlns="http://schemas.openxmlformats.org/spreadsheetml/2006/main" count="176" uniqueCount="131">
  <si>
    <t>Inputs and Assumptions</t>
  </si>
  <si>
    <t>ALPHABET (GOOGL)</t>
  </si>
  <si>
    <t>General</t>
  </si>
  <si>
    <t>-</t>
  </si>
  <si>
    <t>First Year of forecast:</t>
  </si>
  <si>
    <t>The key drivers that will be used when modeling will be</t>
  </si>
  <si>
    <t>Notes</t>
  </si>
  <si>
    <t>1)</t>
  </si>
  <si>
    <t>when determining how that revenue will grow over time</t>
  </si>
  <si>
    <t xml:space="preserve"> paid click growth, cost-per-click change (these are</t>
  </si>
  <si>
    <t xml:space="preserve"> for google search), impression change, </t>
  </si>
  <si>
    <t>cost-per-impression change (these are for google network)</t>
  </si>
  <si>
    <t xml:space="preserve">2) </t>
  </si>
  <si>
    <t>avg</t>
  </si>
  <si>
    <t>C.P.C</t>
  </si>
  <si>
    <t>P.C</t>
  </si>
  <si>
    <t>I.C</t>
  </si>
  <si>
    <t>C.P.I</t>
  </si>
  <si>
    <t>YT ads</t>
  </si>
  <si>
    <t>Growth for google search revenue has been increasing mainly from cpc growth, I will assume that future paid click growth will</t>
  </si>
  <si>
    <t>grow at a terminal rate growth of about 3% and then cost-per-click will increase in the near future due to continued inflation but slow eventually to 2% general inflation</t>
  </si>
  <si>
    <t>Given overall lack of growth, I will assume google network revenue will likely be flat</t>
  </si>
  <si>
    <t xml:space="preserve">Growth for YT ad revenue is primarily driver by increase yt short interaction and ad spending increases, and will likely continue to increase </t>
  </si>
  <si>
    <t>in the near future but then converge to about 12.5% which is the average cagr for the global digital ad market</t>
  </si>
  <si>
    <t>Subscription</t>
  </si>
  <si>
    <t>Likely downtrend from here as subscription and device ownership market matures, likely converges to a 5% growth rate (2 inflatioon 3 real growth)</t>
  </si>
  <si>
    <t>Cloud</t>
  </si>
  <si>
    <t>likely grow at a similar rate for the next couple of years then slow down to the high teens like aws</t>
  </si>
  <si>
    <t>Other Bets</t>
  </si>
  <si>
    <t>will use average grow rate as this is a tiny piece of revenue growth</t>
  </si>
  <si>
    <t>Worst Case</t>
  </si>
  <si>
    <t>Base Case</t>
  </si>
  <si>
    <t>Best Case</t>
  </si>
  <si>
    <t>Google</t>
  </si>
  <si>
    <t>Google Search Revenue Growth Forecast</t>
  </si>
  <si>
    <t>Google Network Revenue Growth Forecast</t>
  </si>
  <si>
    <t xml:space="preserve">Base Case </t>
  </si>
  <si>
    <t>Since specific metrics are not given for Youtube ad revenue,  subscritption/platforms/devices revenue, Cloud Services or Other Bets, I will use historical growth rates for Google blended with competitors' growth rates</t>
  </si>
  <si>
    <t>Youtube Ad Revenue Growth Forecast</t>
  </si>
  <si>
    <t>S.P.D Revenue Growth Forecast</t>
  </si>
  <si>
    <t>Cloud Services Revenue Growth Forecast</t>
  </si>
  <si>
    <t>Other Bets Revenue Growth Forecast</t>
  </si>
  <si>
    <t>Interest Rates</t>
  </si>
  <si>
    <t>Interest on revolver</t>
  </si>
  <si>
    <t>Interest on ST debt</t>
  </si>
  <si>
    <t>Interest rate on LT debt</t>
  </si>
  <si>
    <t>n/a</t>
  </si>
  <si>
    <t xml:space="preserve">3) </t>
  </si>
  <si>
    <t>4.4% st debt interest rate as seen on balance sheet, due to large issuance of lt debt, I will assume that once this is paid no st debt will be issued until after the scope of this model. 3.2% weighted average of</t>
  </si>
  <si>
    <t>long term debt outstanding as seen on most recent 10q, using the assumption that when an interest rate is given as a range, the average interest rate paid will be closer to the upper exteme due to most debt</t>
  </si>
  <si>
    <t xml:space="preserve"> being outstanding until 2050+. Also, it seems Google issues lt debt about once every 4-5 years so I will also assume no new lt debt until after the scope of this model</t>
  </si>
  <si>
    <t>Taxes</t>
  </si>
  <si>
    <t>Corporate tax rate</t>
  </si>
  <si>
    <t>Effective tax rate</t>
  </si>
  <si>
    <t>4) Effective tax rate of 16% estimated based off last 3 yeards effective tax rates</t>
  </si>
  <si>
    <t>Sales and Cost Scenarios</t>
  </si>
  <si>
    <t>Scenario Switch</t>
  </si>
  <si>
    <t xml:space="preserve">Best Case </t>
  </si>
  <si>
    <t>Ticker</t>
  </si>
  <si>
    <t>GOOGL</t>
  </si>
  <si>
    <t>Date</t>
  </si>
  <si>
    <t>Year-End</t>
  </si>
  <si>
    <t>Implied Share Price</t>
  </si>
  <si>
    <t>Current Share Price</t>
  </si>
  <si>
    <t>Financial Modeling</t>
  </si>
  <si>
    <t>Company</t>
  </si>
  <si>
    <t>Revenue</t>
  </si>
  <si>
    <t>Google Search</t>
  </si>
  <si>
    <t>Google Network</t>
  </si>
  <si>
    <t>Youtube Ads</t>
  </si>
  <si>
    <t>Subscription/Platforms/Devices</t>
  </si>
  <si>
    <t>Cloud Services</t>
  </si>
  <si>
    <t>% growth</t>
  </si>
  <si>
    <t>Total Revenue</t>
  </si>
  <si>
    <t>EBIT</t>
  </si>
  <si>
    <t>% of revenue</t>
  </si>
  <si>
    <t xml:space="preserve">5) </t>
  </si>
  <si>
    <t>EBIT margins are unlikely to improve due to significantly larger spending in CapEx and subsequent depreciation/R&amp;D/SG&amp;A costs associated with it offsetting the larger revenue gains</t>
  </si>
  <si>
    <t>% of EBIT</t>
  </si>
  <si>
    <t>INCOME STATEMENT</t>
  </si>
  <si>
    <t>CASH FLOW ITEMS</t>
  </si>
  <si>
    <t>D&amp;A</t>
  </si>
  <si>
    <t>% of capex</t>
  </si>
  <si>
    <t xml:space="preserve">6) </t>
  </si>
  <si>
    <t>In 2023, reporting of depreciation and amortisation CFS changed. Amortization schedule was included in 10Q of 03/2023</t>
  </si>
  <si>
    <t>Capex</t>
  </si>
  <si>
    <t xml:space="preserve">7) </t>
  </si>
  <si>
    <t>Assuming that by 2029, Capex as a % of Revenue decreases to Amazon's levels of about 13%</t>
  </si>
  <si>
    <t>note: 2025 85B capex from report</t>
  </si>
  <si>
    <t xml:space="preserve">8) </t>
  </si>
  <si>
    <t>Assume D&amp;A as % of Capex grows in proportion is growth in Capex as a % of revenue</t>
  </si>
  <si>
    <t>Change in NWC</t>
  </si>
  <si>
    <t>% of change in revenue</t>
  </si>
  <si>
    <t>WACC Calculations</t>
  </si>
  <si>
    <t>Total Debt:</t>
  </si>
  <si>
    <t>Weighted Cost of Debt:</t>
  </si>
  <si>
    <t>% Debt:</t>
  </si>
  <si>
    <t>Tax Rate:</t>
  </si>
  <si>
    <t>Equity Value:</t>
  </si>
  <si>
    <t>Cost of Equity:</t>
  </si>
  <si>
    <t>% Equity:</t>
  </si>
  <si>
    <t>Risk-Free Rate:</t>
  </si>
  <si>
    <t>Beta:</t>
  </si>
  <si>
    <t>Market-Risk Premium:</t>
  </si>
  <si>
    <t>Debt + Equity:</t>
  </si>
  <si>
    <t>WACC:</t>
  </si>
  <si>
    <t>10Y yield</t>
  </si>
  <si>
    <t>NOPAT</t>
  </si>
  <si>
    <t>DCF</t>
  </si>
  <si>
    <t>+</t>
  </si>
  <si>
    <t>=</t>
  </si>
  <si>
    <t>Unlevered Free Cash Flow</t>
  </si>
  <si>
    <t>Present Value of UFCF</t>
  </si>
  <si>
    <t>Terminal Value</t>
  </si>
  <si>
    <t>Terminal Growth Rate</t>
  </si>
  <si>
    <t>Present Value of Terminal Value</t>
  </si>
  <si>
    <t>Enterprise Value</t>
  </si>
  <si>
    <t>Debt</t>
  </si>
  <si>
    <t>Cash</t>
  </si>
  <si>
    <t>Equity Value</t>
  </si>
  <si>
    <t>Shares Outstanding</t>
  </si>
  <si>
    <t>Implied PPS</t>
  </si>
  <si>
    <t>SENSITIVITY ANALYSIS</t>
  </si>
  <si>
    <t>Implied PPS chart</t>
  </si>
  <si>
    <t>→</t>
  </si>
  <si>
    <t>Terminal Growth Rate ↓/WACC →</t>
  </si>
  <si>
    <t>Best Case:</t>
  </si>
  <si>
    <t>Base Case:</t>
  </si>
  <si>
    <t>Worst Case:</t>
  </si>
  <si>
    <t>Likely Range:</t>
  </si>
  <si>
    <t>221.78 - 295.39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</si>
</sst>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000&quot;A&quot;"/>
    <numFmt numFmtId="166" formatCode="0000&quot;E&quot;"/>
    <numFmt numFmtId="167" formatCode="0.0000000000000000%"/>
  </numFmts>
  <fonts count="9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/>
    </xf>
    <xf numFmtId="0" fontId="1" fillId="0" borderId="1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3" fillId="0" borderId="0" xfId="0" applyFont="1"/>
    <xf numFmtId="0" fontId="5" fillId="0" borderId="0" xfId="0" applyFont="1"/>
    <xf numFmtId="9" fontId="0" fillId="0" borderId="0" xfId="1" applyFont="1"/>
    <xf numFmtId="9" fontId="0" fillId="0" borderId="0" xfId="0" applyNumberFormat="1"/>
    <xf numFmtId="164" fontId="0" fillId="0" borderId="0" xfId="0" applyNumberFormat="1"/>
    <xf numFmtId="10" fontId="0" fillId="0" borderId="0" xfId="0" applyNumberFormat="1"/>
    <xf numFmtId="164" fontId="0" fillId="0" borderId="0" xfId="1" applyNumberFormat="1" applyFont="1"/>
    <xf numFmtId="0" fontId="6" fillId="0" borderId="0" xfId="0" applyFont="1"/>
    <xf numFmtId="0" fontId="1" fillId="0" borderId="0" xfId="0" applyFont="1" applyAlignment="1">
      <alignment horizontal="centerContinuous"/>
    </xf>
    <xf numFmtId="0" fontId="3" fillId="0" borderId="2" xfId="0" applyFont="1" applyBorder="1"/>
    <xf numFmtId="0" fontId="0" fillId="0" borderId="1" xfId="0" applyBorder="1"/>
    <xf numFmtId="0" fontId="2" fillId="0" borderId="1" xfId="0" applyFont="1" applyBorder="1"/>
    <xf numFmtId="14" fontId="0" fillId="0" borderId="0" xfId="0" applyNumberFormat="1"/>
    <xf numFmtId="0" fontId="7" fillId="0" borderId="0" xfId="0" applyFont="1"/>
    <xf numFmtId="0" fontId="7" fillId="0" borderId="1" xfId="0" applyFont="1" applyBorder="1"/>
    <xf numFmtId="164" fontId="0" fillId="0" borderId="1" xfId="1" applyNumberFormat="1" applyFont="1" applyBorder="1"/>
    <xf numFmtId="0" fontId="0" fillId="0" borderId="0" xfId="0" applyBorder="1"/>
    <xf numFmtId="0" fontId="7" fillId="0" borderId="0" xfId="0" applyFont="1" applyFill="1" applyBorder="1"/>
    <xf numFmtId="1" fontId="0" fillId="0" borderId="0" xfId="0" applyNumberFormat="1"/>
    <xf numFmtId="0" fontId="0" fillId="2" borderId="0" xfId="0" applyFill="1"/>
    <xf numFmtId="0" fontId="3" fillId="2" borderId="0" xfId="0" applyFont="1" applyFill="1"/>
    <xf numFmtId="0" fontId="3" fillId="0" borderId="3" xfId="0" applyFont="1" applyBorder="1"/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  <xf numFmtId="0" fontId="0" fillId="0" borderId="0" xfId="1" applyNumberFormat="1" applyFont="1"/>
    <xf numFmtId="0" fontId="8" fillId="0" borderId="0" xfId="0" applyFont="1"/>
    <xf numFmtId="10" fontId="0" fillId="0" borderId="0" xfId="0" applyNumberFormat="1" applyAlignment="1">
      <alignment horizontal="right"/>
    </xf>
    <xf numFmtId="2" fontId="0" fillId="0" borderId="0" xfId="0" applyNumberFormat="1"/>
    <xf numFmtId="167" fontId="0" fillId="0" borderId="0" xfId="0" applyNumberFormat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22" fmlaLink="$D$6" fmlaRange="$B$12:$B$14" noThreeD="1" sel="2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5</xdr:row>
          <xdr:rowOff>0</xdr:rowOff>
        </xdr:from>
        <xdr:to>
          <xdr:col>4</xdr:col>
          <xdr:colOff>28575</xdr:colOff>
          <xdr:row>6</xdr:row>
          <xdr:rowOff>9525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0B62-0E5D-4D0E-9AF2-47CCC379DB10}">
  <dimension ref="A1:Y43"/>
  <sheetViews>
    <sheetView zoomScale="80" zoomScaleNormal="80" workbookViewId="0">
      <selection activeCell="D15" sqref="D15:H15"/>
    </sheetView>
  </sheetViews>
  <sheetFormatPr defaultRowHeight="15" x14ac:dyDescent="0.25"/>
  <cols>
    <col min="2" max="2" width="2" customWidth="1"/>
    <col min="18" max="18" width="3.28515625" customWidth="1"/>
    <col min="19" max="19" width="12.42578125" customWidth="1"/>
  </cols>
  <sheetData>
    <row r="1" spans="1:25" ht="21" x14ac:dyDescent="0.35">
      <c r="A1" s="2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5" ht="18.75" x14ac:dyDescent="0.3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R2" s="6" t="s">
        <v>6</v>
      </c>
    </row>
    <row r="3" spans="1:25" x14ac:dyDescent="0.25">
      <c r="R3" t="s">
        <v>7</v>
      </c>
      <c r="S3" t="s">
        <v>37</v>
      </c>
    </row>
    <row r="4" spans="1:25" x14ac:dyDescent="0.25">
      <c r="S4" t="s">
        <v>8</v>
      </c>
    </row>
    <row r="5" spans="1:25" x14ac:dyDescent="0.25">
      <c r="B5" s="12" t="s">
        <v>2</v>
      </c>
    </row>
    <row r="6" spans="1:25" x14ac:dyDescent="0.25">
      <c r="B6" t="s">
        <v>3</v>
      </c>
      <c r="C6" t="s">
        <v>4</v>
      </c>
      <c r="H6">
        <v>2025</v>
      </c>
      <c r="R6" t="s">
        <v>12</v>
      </c>
      <c r="T6">
        <v>2022</v>
      </c>
      <c r="U6">
        <v>2023</v>
      </c>
      <c r="V6">
        <v>2024</v>
      </c>
      <c r="W6" t="s">
        <v>13</v>
      </c>
    </row>
    <row r="7" spans="1:25" x14ac:dyDescent="0.25">
      <c r="S7" t="s">
        <v>15</v>
      </c>
      <c r="T7" s="11">
        <v>0.1</v>
      </c>
      <c r="U7" s="11">
        <v>7.0000000000000007E-2</v>
      </c>
      <c r="V7" s="11">
        <v>0.05</v>
      </c>
      <c r="W7" s="9">
        <f>AVERAGE(T7:V7)</f>
        <v>7.3333333333333348E-2</v>
      </c>
      <c r="Y7" t="s">
        <v>19</v>
      </c>
    </row>
    <row r="8" spans="1:25" x14ac:dyDescent="0.25">
      <c r="B8" t="s">
        <v>3</v>
      </c>
      <c r="C8" t="s">
        <v>5</v>
      </c>
      <c r="S8" t="s">
        <v>14</v>
      </c>
      <c r="T8" s="11">
        <v>-0.01</v>
      </c>
      <c r="U8" s="11">
        <v>0.01</v>
      </c>
      <c r="V8" s="11">
        <v>7.0000000000000007E-2</v>
      </c>
      <c r="W8" s="9">
        <f>AVERAGE(T8:V8)</f>
        <v>2.3333333333333334E-2</v>
      </c>
      <c r="Y8" t="s">
        <v>20</v>
      </c>
    </row>
    <row r="9" spans="1:25" x14ac:dyDescent="0.25">
      <c r="C9" t="s">
        <v>9</v>
      </c>
      <c r="S9" t="s">
        <v>16</v>
      </c>
      <c r="T9" s="11">
        <v>0.03</v>
      </c>
      <c r="U9" s="11">
        <v>-0.05</v>
      </c>
      <c r="V9" s="11">
        <v>-0.11</v>
      </c>
      <c r="W9" s="9">
        <f>AVERAGE(T9:V9)</f>
        <v>-4.3333333333333335E-2</v>
      </c>
      <c r="Y9" t="s">
        <v>21</v>
      </c>
    </row>
    <row r="10" spans="1:25" x14ac:dyDescent="0.25">
      <c r="C10" t="s">
        <v>10</v>
      </c>
      <c r="S10" t="s">
        <v>17</v>
      </c>
      <c r="T10" s="11">
        <v>0.01</v>
      </c>
      <c r="U10" s="11">
        <v>0</v>
      </c>
      <c r="V10" s="11">
        <v>0.1</v>
      </c>
      <c r="W10" s="9">
        <f>AVERAGE(T10:V10)</f>
        <v>3.6666666666666667E-2</v>
      </c>
    </row>
    <row r="11" spans="1:25" x14ac:dyDescent="0.25">
      <c r="C11" t="s">
        <v>11</v>
      </c>
      <c r="T11" s="9"/>
      <c r="U11" s="9"/>
      <c r="V11" s="9"/>
      <c r="W11" s="9"/>
    </row>
    <row r="12" spans="1:25" x14ac:dyDescent="0.25">
      <c r="S12" t="s">
        <v>18</v>
      </c>
      <c r="T12" s="11">
        <f>(29243-28845)/28845</f>
        <v>1.3797885248743282E-2</v>
      </c>
      <c r="U12" s="11">
        <f>31510/29243 - 1</f>
        <v>7.7522825975447018E-2</v>
      </c>
      <c r="V12" s="11">
        <f>36147/31510 - 1</f>
        <v>0.14715963186290071</v>
      </c>
      <c r="W12" s="11">
        <f>AVERAGE(T12:V12)</f>
        <v>7.9493447695697009E-2</v>
      </c>
      <c r="Y12" t="s">
        <v>22</v>
      </c>
    </row>
    <row r="13" spans="1:25" x14ac:dyDescent="0.25">
      <c r="B13" s="12" t="s">
        <v>34</v>
      </c>
      <c r="T13" s="9"/>
      <c r="U13" s="9"/>
      <c r="V13" s="9"/>
      <c r="W13" s="9"/>
      <c r="Y13" t="s">
        <v>23</v>
      </c>
    </row>
    <row r="14" spans="1:25" x14ac:dyDescent="0.25">
      <c r="D14">
        <v>2025</v>
      </c>
      <c r="E14">
        <v>2026</v>
      </c>
      <c r="F14">
        <v>2027</v>
      </c>
      <c r="G14">
        <v>2028</v>
      </c>
      <c r="H14">
        <v>2029</v>
      </c>
      <c r="S14" t="s">
        <v>24</v>
      </c>
      <c r="T14" s="11">
        <f>29055/28032 - 1</f>
        <v>3.6494006849315141E-2</v>
      </c>
      <c r="U14" s="11">
        <f>34688/29055 - 1</f>
        <v>0.19387368783341929</v>
      </c>
      <c r="V14" s="11">
        <f>40340/34688 - 1</f>
        <v>0.16293819188191883</v>
      </c>
      <c r="W14" s="11">
        <f>AVERAGE(T14:V14)</f>
        <v>0.13110196218821776</v>
      </c>
      <c r="Y14" t="s">
        <v>25</v>
      </c>
    </row>
    <row r="15" spans="1:25" x14ac:dyDescent="0.25">
      <c r="B15" t="s">
        <v>31</v>
      </c>
      <c r="D15" s="7">
        <v>0.12</v>
      </c>
      <c r="E15" s="7">
        <v>0.1</v>
      </c>
      <c r="F15" s="7">
        <v>0.08</v>
      </c>
      <c r="G15" s="7">
        <v>0.06</v>
      </c>
      <c r="H15" s="7">
        <v>0.05</v>
      </c>
    </row>
    <row r="16" spans="1:25" x14ac:dyDescent="0.25">
      <c r="J16" s="12" t="s">
        <v>42</v>
      </c>
      <c r="S16" t="s">
        <v>26</v>
      </c>
      <c r="T16" s="11">
        <f>26280/19206 - 1</f>
        <v>0.36832239925023424</v>
      </c>
      <c r="U16" s="11">
        <f>33088/26280 - 1</f>
        <v>0.25905631659056327</v>
      </c>
      <c r="V16" s="11">
        <f>43229/33088 - 1</f>
        <v>0.30648573500967125</v>
      </c>
      <c r="W16" s="11">
        <f>AVERAGE(T16:V16)</f>
        <v>0.31128815028348961</v>
      </c>
      <c r="Y16" t="s">
        <v>27</v>
      </c>
    </row>
    <row r="17" spans="2:25" x14ac:dyDescent="0.25">
      <c r="B17" s="12" t="s">
        <v>35</v>
      </c>
      <c r="J17" t="s">
        <v>43</v>
      </c>
      <c r="M17" t="s">
        <v>46</v>
      </c>
      <c r="N17" s="10"/>
    </row>
    <row r="18" spans="2:25" x14ac:dyDescent="0.25">
      <c r="D18">
        <v>2025</v>
      </c>
      <c r="E18">
        <v>2026</v>
      </c>
      <c r="F18">
        <v>2027</v>
      </c>
      <c r="G18">
        <v>2028</v>
      </c>
      <c r="H18">
        <v>2029</v>
      </c>
      <c r="J18" t="s">
        <v>44</v>
      </c>
      <c r="M18" s="10">
        <v>4.3999999999999997E-2</v>
      </c>
      <c r="N18" s="10"/>
      <c r="S18" t="s">
        <v>28</v>
      </c>
      <c r="T18" s="11">
        <f>1068/753 -1</f>
        <v>0.41832669322709171</v>
      </c>
      <c r="U18" s="11">
        <f>1527/1068 - 1</f>
        <v>0.4297752808988764</v>
      </c>
      <c r="V18" s="11">
        <f>1648/1527 - 1</f>
        <v>7.9240340537000575E-2</v>
      </c>
      <c r="W18" s="11">
        <f>AVERAGE(T18:V18)</f>
        <v>0.30911410488765623</v>
      </c>
      <c r="Y18" t="s">
        <v>29</v>
      </c>
    </row>
    <row r="19" spans="2:25" x14ac:dyDescent="0.25">
      <c r="B19" t="s">
        <v>36</v>
      </c>
      <c r="D19" s="7">
        <v>-0.01</v>
      </c>
      <c r="E19" s="7">
        <v>-0.01</v>
      </c>
      <c r="F19" s="7">
        <v>-0.01</v>
      </c>
      <c r="G19" s="7">
        <v>-0.01</v>
      </c>
      <c r="H19" s="7">
        <v>-0.01</v>
      </c>
      <c r="J19" t="s">
        <v>45</v>
      </c>
      <c r="M19" s="10">
        <v>3.2000000000000001E-2</v>
      </c>
      <c r="R19" t="s">
        <v>47</v>
      </c>
      <c r="S19" t="s">
        <v>48</v>
      </c>
    </row>
    <row r="20" spans="2:25" x14ac:dyDescent="0.25">
      <c r="S20" t="s">
        <v>49</v>
      </c>
    </row>
    <row r="21" spans="2:25" x14ac:dyDescent="0.25">
      <c r="B21" s="12" t="s">
        <v>38</v>
      </c>
      <c r="S21" t="s">
        <v>50</v>
      </c>
    </row>
    <row r="22" spans="2:25" x14ac:dyDescent="0.25">
      <c r="D22">
        <v>2025</v>
      </c>
      <c r="E22">
        <v>2026</v>
      </c>
      <c r="F22">
        <v>2027</v>
      </c>
      <c r="G22">
        <v>2028</v>
      </c>
      <c r="H22">
        <v>2029</v>
      </c>
      <c r="J22" s="12" t="s">
        <v>51</v>
      </c>
    </row>
    <row r="23" spans="2:25" x14ac:dyDescent="0.25">
      <c r="B23" t="s">
        <v>36</v>
      </c>
      <c r="D23" s="7">
        <v>0.17</v>
      </c>
      <c r="E23" s="7">
        <v>0.18</v>
      </c>
      <c r="F23" s="7">
        <v>0.16</v>
      </c>
      <c r="G23" s="7">
        <v>0.14000000000000001</v>
      </c>
      <c r="H23" s="7">
        <v>0.12</v>
      </c>
      <c r="J23" t="s">
        <v>52</v>
      </c>
      <c r="M23" s="8">
        <v>0.21</v>
      </c>
    </row>
    <row r="24" spans="2:25" x14ac:dyDescent="0.25">
      <c r="J24" t="s">
        <v>53</v>
      </c>
      <c r="M24" s="8">
        <v>0.16</v>
      </c>
      <c r="R24" t="s">
        <v>54</v>
      </c>
    </row>
    <row r="25" spans="2:25" x14ac:dyDescent="0.25">
      <c r="B25" s="12" t="s">
        <v>39</v>
      </c>
    </row>
    <row r="26" spans="2:25" x14ac:dyDescent="0.25">
      <c r="D26">
        <v>2025</v>
      </c>
      <c r="E26">
        <v>2026</v>
      </c>
      <c r="F26">
        <v>2027</v>
      </c>
      <c r="G26">
        <v>2028</v>
      </c>
      <c r="H26">
        <v>2029</v>
      </c>
      <c r="R26" t="s">
        <v>76</v>
      </c>
      <c r="S26" t="s">
        <v>77</v>
      </c>
    </row>
    <row r="27" spans="2:25" x14ac:dyDescent="0.25">
      <c r="B27" t="s">
        <v>36</v>
      </c>
      <c r="D27" s="7">
        <v>0.13</v>
      </c>
      <c r="E27" s="7">
        <v>0.1</v>
      </c>
      <c r="F27" s="7">
        <v>0.08</v>
      </c>
      <c r="G27" s="7">
        <v>0.06</v>
      </c>
      <c r="H27" s="7">
        <v>0.05</v>
      </c>
    </row>
    <row r="28" spans="2:25" x14ac:dyDescent="0.25">
      <c r="R28" t="s">
        <v>83</v>
      </c>
      <c r="S28" t="s">
        <v>84</v>
      </c>
    </row>
    <row r="29" spans="2:25" x14ac:dyDescent="0.25">
      <c r="B29" s="12" t="s">
        <v>40</v>
      </c>
    </row>
    <row r="30" spans="2:25" x14ac:dyDescent="0.25">
      <c r="D30">
        <v>2025</v>
      </c>
      <c r="E30">
        <v>2026</v>
      </c>
      <c r="F30">
        <v>2027</v>
      </c>
      <c r="G30">
        <v>2028</v>
      </c>
      <c r="H30">
        <v>2029</v>
      </c>
      <c r="R30" t="s">
        <v>86</v>
      </c>
      <c r="S30" t="s">
        <v>87</v>
      </c>
    </row>
    <row r="31" spans="2:25" x14ac:dyDescent="0.25">
      <c r="B31" t="s">
        <v>36</v>
      </c>
      <c r="D31" s="7">
        <v>0.35</v>
      </c>
      <c r="E31" s="7">
        <v>0.3</v>
      </c>
      <c r="F31" s="7">
        <v>0.26</v>
      </c>
      <c r="G31" s="7">
        <v>0.22</v>
      </c>
      <c r="H31" s="7">
        <v>0.18</v>
      </c>
    </row>
    <row r="32" spans="2:25" x14ac:dyDescent="0.25">
      <c r="R32" t="s">
        <v>89</v>
      </c>
      <c r="S32" t="s">
        <v>90</v>
      </c>
    </row>
    <row r="33" spans="2:8" x14ac:dyDescent="0.25">
      <c r="B33" s="12" t="s">
        <v>41</v>
      </c>
    </row>
    <row r="34" spans="2:8" x14ac:dyDescent="0.25">
      <c r="D34">
        <v>2025</v>
      </c>
      <c r="E34">
        <v>2026</v>
      </c>
      <c r="F34">
        <v>2027</v>
      </c>
      <c r="G34">
        <v>2028</v>
      </c>
      <c r="H34">
        <v>2029</v>
      </c>
    </row>
    <row r="35" spans="2:8" x14ac:dyDescent="0.25">
      <c r="B35" t="s">
        <v>36</v>
      </c>
      <c r="D35" s="7">
        <v>0.309</v>
      </c>
      <c r="E35" s="7">
        <v>0.309</v>
      </c>
      <c r="F35" s="7">
        <v>0.309</v>
      </c>
      <c r="G35" s="7">
        <v>0.309</v>
      </c>
      <c r="H35" s="7">
        <v>0.309</v>
      </c>
    </row>
    <row r="37" spans="2:8" x14ac:dyDescent="0.25">
      <c r="B37" s="5"/>
    </row>
    <row r="43" spans="2:8" x14ac:dyDescent="0.25">
      <c r="B4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76BA1-6EAF-46E1-B0F9-280F0A9BECBA}">
  <dimension ref="A1"/>
  <sheetViews>
    <sheetView workbookViewId="0">
      <selection activeCell="B1" sqref="B1"/>
    </sheetView>
  </sheetViews>
  <sheetFormatPr defaultRowHeight="15" x14ac:dyDescent="0.25"/>
  <cols>
    <col min="1" max="1" width="11.7109375" customWidth="1"/>
    <col min="2" max="2" width="12" customWidth="1"/>
    <col min="3" max="3" width="11.5703125" customWidth="1"/>
    <col min="4" max="4" width="13" customWidth="1"/>
    <col min="5" max="5" width="12.85546875" customWidth="1"/>
    <col min="6" max="6" width="13.28515625" customWidth="1"/>
    <col min="7" max="7" width="14.7109375" customWidth="1"/>
  </cols>
  <sheetData>
    <row r="1" spans="1:1" x14ac:dyDescent="0.25">
      <c r="A1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E1FA-D0C5-4BB7-AEE5-919F85C60AE8}">
  <dimension ref="A1:Q44"/>
  <sheetViews>
    <sheetView topLeftCell="A2" zoomScale="80" zoomScaleNormal="80" workbookViewId="0">
      <selection activeCell="J12" sqref="J12"/>
    </sheetView>
  </sheetViews>
  <sheetFormatPr defaultRowHeight="15" x14ac:dyDescent="0.25"/>
  <cols>
    <col min="2" max="2" width="1.85546875" customWidth="1"/>
    <col min="3" max="3" width="14.28515625" customWidth="1"/>
  </cols>
  <sheetData>
    <row r="1" spans="1:17" ht="21" x14ac:dyDescent="0.35">
      <c r="A1" s="2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8.75" x14ac:dyDescent="0.3">
      <c r="A2" s="13" t="s">
        <v>55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3.7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1"/>
    </row>
    <row r="6" spans="1:17" x14ac:dyDescent="0.25">
      <c r="B6" t="s">
        <v>56</v>
      </c>
      <c r="D6">
        <v>2</v>
      </c>
      <c r="G6" s="14">
        <v>2025</v>
      </c>
      <c r="H6" s="14">
        <v>2026</v>
      </c>
      <c r="I6" s="14">
        <v>2027</v>
      </c>
      <c r="J6" s="14">
        <v>2028</v>
      </c>
      <c r="K6" s="14">
        <v>2029</v>
      </c>
    </row>
    <row r="10" spans="1:17" x14ac:dyDescent="0.25">
      <c r="B10" s="5" t="s">
        <v>34</v>
      </c>
      <c r="G10" s="11">
        <f>CHOOSE($D$6, G12,G13,G14)</f>
        <v>0.12</v>
      </c>
      <c r="H10" s="11">
        <f t="shared" ref="H10:K10" si="0">CHOOSE($D$6, H12,H13,H14)</f>
        <v>0.1</v>
      </c>
      <c r="I10" s="11">
        <f t="shared" si="0"/>
        <v>0.08</v>
      </c>
      <c r="J10" s="11">
        <f t="shared" si="0"/>
        <v>0.06</v>
      </c>
      <c r="K10" s="11">
        <f t="shared" si="0"/>
        <v>0.05</v>
      </c>
    </row>
    <row r="11" spans="1:17" ht="3.75" customHeight="1" x14ac:dyDescent="0.25">
      <c r="G11" s="9"/>
      <c r="H11" s="9"/>
      <c r="I11" s="9"/>
      <c r="J11" s="9"/>
      <c r="K11" s="9"/>
    </row>
    <row r="12" spans="1:17" x14ac:dyDescent="0.25">
      <c r="B12" t="s">
        <v>32</v>
      </c>
      <c r="D12" s="8"/>
      <c r="E12" s="8"/>
      <c r="F12" s="8"/>
      <c r="G12" s="9">
        <v>0.14000000000000001</v>
      </c>
      <c r="H12" s="9">
        <v>0.12</v>
      </c>
      <c r="I12" s="9">
        <v>0.1</v>
      </c>
      <c r="J12" s="9">
        <v>0.08</v>
      </c>
      <c r="K12" s="9">
        <v>7.0000000000000007E-2</v>
      </c>
    </row>
    <row r="13" spans="1:17" x14ac:dyDescent="0.25">
      <c r="B13" t="s">
        <v>31</v>
      </c>
      <c r="D13" s="7"/>
      <c r="E13" s="7"/>
      <c r="F13" s="7"/>
      <c r="G13" s="7">
        <v>0.12</v>
      </c>
      <c r="H13" s="7">
        <v>0.1</v>
      </c>
      <c r="I13" s="7">
        <v>0.08</v>
      </c>
      <c r="J13" s="7">
        <v>0.06</v>
      </c>
      <c r="K13" s="7">
        <v>0.05</v>
      </c>
    </row>
    <row r="14" spans="1:17" x14ac:dyDescent="0.25">
      <c r="B14" t="s">
        <v>30</v>
      </c>
      <c r="D14" s="8"/>
      <c r="E14" s="8"/>
      <c r="F14" s="8"/>
      <c r="G14" s="9">
        <v>0.1</v>
      </c>
      <c r="H14" s="9">
        <v>0.08</v>
      </c>
      <c r="I14" s="9">
        <v>0.06</v>
      </c>
      <c r="J14" s="9">
        <v>0.04</v>
      </c>
      <c r="K14" s="9">
        <v>0.03</v>
      </c>
    </row>
    <row r="15" spans="1:17" x14ac:dyDescent="0.25">
      <c r="G15" s="9"/>
      <c r="H15" s="9"/>
      <c r="I15" s="9"/>
      <c r="J15" s="9"/>
      <c r="K15" s="9"/>
    </row>
    <row r="16" spans="1:17" x14ac:dyDescent="0.25">
      <c r="B16" s="5" t="s">
        <v>35</v>
      </c>
      <c r="G16" s="11">
        <f>CHOOSE($D$6, G18,G19,G20)</f>
        <v>-0.01</v>
      </c>
      <c r="H16" s="11">
        <f t="shared" ref="H16:K16" si="1">CHOOSE($D$6, H18,H19,H20)</f>
        <v>-0.01</v>
      </c>
      <c r="I16" s="11">
        <f t="shared" si="1"/>
        <v>-0.01</v>
      </c>
      <c r="J16" s="11">
        <f t="shared" si="1"/>
        <v>-0.01</v>
      </c>
      <c r="K16" s="11">
        <f t="shared" si="1"/>
        <v>-0.01</v>
      </c>
    </row>
    <row r="17" spans="2:11" ht="4.5" customHeight="1" x14ac:dyDescent="0.25">
      <c r="G17" s="9"/>
      <c r="H17" s="9"/>
      <c r="I17" s="9"/>
      <c r="J17" s="9"/>
      <c r="K17" s="9"/>
    </row>
    <row r="18" spans="2:11" x14ac:dyDescent="0.25">
      <c r="B18" t="s">
        <v>57</v>
      </c>
      <c r="D18" s="7"/>
      <c r="E18" s="7"/>
      <c r="F18" s="7"/>
      <c r="G18" s="11">
        <v>-0.01</v>
      </c>
      <c r="H18" s="11">
        <v>0</v>
      </c>
      <c r="I18" s="11">
        <v>0.01</v>
      </c>
      <c r="J18" s="11">
        <v>0.02</v>
      </c>
      <c r="K18" s="11">
        <v>0.04</v>
      </c>
    </row>
    <row r="19" spans="2:11" x14ac:dyDescent="0.25">
      <c r="B19" t="s">
        <v>31</v>
      </c>
      <c r="D19" s="7"/>
      <c r="E19" s="7"/>
      <c r="F19" s="7"/>
      <c r="G19" s="11">
        <v>-0.01</v>
      </c>
      <c r="H19" s="11">
        <v>-0.01</v>
      </c>
      <c r="I19" s="11">
        <v>-0.01</v>
      </c>
      <c r="J19" s="11">
        <v>-0.01</v>
      </c>
      <c r="K19" s="11">
        <v>-0.01</v>
      </c>
    </row>
    <row r="20" spans="2:11" x14ac:dyDescent="0.25">
      <c r="B20" t="s">
        <v>30</v>
      </c>
      <c r="D20" s="7"/>
      <c r="E20" s="7"/>
      <c r="F20" s="7"/>
      <c r="G20" s="11">
        <v>-0.02</v>
      </c>
      <c r="H20" s="11">
        <v>-0.03</v>
      </c>
      <c r="I20" s="11">
        <v>-0.03</v>
      </c>
      <c r="J20" s="11">
        <v>-0.05</v>
      </c>
      <c r="K20" s="11">
        <v>-0.1</v>
      </c>
    </row>
    <row r="21" spans="2:11" x14ac:dyDescent="0.25">
      <c r="G21" s="9"/>
      <c r="H21" s="9"/>
      <c r="I21" s="9"/>
      <c r="J21" s="9"/>
      <c r="K21" s="9"/>
    </row>
    <row r="22" spans="2:11" x14ac:dyDescent="0.25">
      <c r="B22" s="5" t="s">
        <v>38</v>
      </c>
      <c r="G22" s="11">
        <f>CHOOSE($D$6, G24,G25,G26)</f>
        <v>0.15</v>
      </c>
      <c r="H22" s="11">
        <f t="shared" ref="H22:K22" si="2">CHOOSE($D$6, H24,H25,H26)</f>
        <v>0.14000000000000001</v>
      </c>
      <c r="I22" s="11">
        <f t="shared" si="2"/>
        <v>0.13</v>
      </c>
      <c r="J22" s="11">
        <f t="shared" si="2"/>
        <v>0.12</v>
      </c>
      <c r="K22" s="11">
        <f t="shared" si="2"/>
        <v>0.12</v>
      </c>
    </row>
    <row r="23" spans="2:11" ht="4.5" customHeight="1" x14ac:dyDescent="0.25">
      <c r="G23" s="9"/>
      <c r="H23" s="9"/>
      <c r="I23" s="9"/>
      <c r="J23" s="9"/>
      <c r="K23" s="9"/>
    </row>
    <row r="24" spans="2:11" x14ac:dyDescent="0.25">
      <c r="B24" t="s">
        <v>57</v>
      </c>
      <c r="D24" s="7"/>
      <c r="E24" s="7"/>
      <c r="F24" s="7"/>
      <c r="G24" s="11">
        <v>0.18</v>
      </c>
      <c r="H24" s="11">
        <v>0.21</v>
      </c>
      <c r="I24" s="11">
        <v>0.2</v>
      </c>
      <c r="J24" s="11">
        <v>0.18</v>
      </c>
      <c r="K24" s="11">
        <v>0.16</v>
      </c>
    </row>
    <row r="25" spans="2:11" x14ac:dyDescent="0.25">
      <c r="B25" t="s">
        <v>31</v>
      </c>
      <c r="D25" s="7"/>
      <c r="E25" s="7"/>
      <c r="F25" s="7"/>
      <c r="G25" s="11">
        <v>0.15</v>
      </c>
      <c r="H25" s="11">
        <v>0.14000000000000001</v>
      </c>
      <c r="I25" s="11">
        <v>0.13</v>
      </c>
      <c r="J25" s="11">
        <v>0.12</v>
      </c>
      <c r="K25" s="11">
        <v>0.12</v>
      </c>
    </row>
    <row r="26" spans="2:11" x14ac:dyDescent="0.25">
      <c r="B26" t="s">
        <v>30</v>
      </c>
      <c r="D26" s="7"/>
      <c r="E26" s="7"/>
      <c r="F26" s="7"/>
      <c r="G26" s="11">
        <v>0.14000000000000001</v>
      </c>
      <c r="H26" s="11">
        <v>0.13</v>
      </c>
      <c r="I26" s="11">
        <v>0.12</v>
      </c>
      <c r="J26" s="11">
        <v>0.1</v>
      </c>
      <c r="K26" s="11">
        <v>0.1</v>
      </c>
    </row>
    <row r="27" spans="2:11" x14ac:dyDescent="0.25">
      <c r="G27" s="9"/>
      <c r="H27" s="9"/>
      <c r="I27" s="9"/>
      <c r="J27" s="9"/>
      <c r="K27" s="9"/>
    </row>
    <row r="28" spans="2:11" x14ac:dyDescent="0.25">
      <c r="B28" s="5" t="s">
        <v>39</v>
      </c>
      <c r="G28" s="11">
        <f>CHOOSE($D$6, G30,G31,G32)</f>
        <v>0.13</v>
      </c>
      <c r="H28" s="11">
        <f t="shared" ref="H28:K28" si="3">CHOOSE($D$6, H30,H31,H32)</f>
        <v>0.1</v>
      </c>
      <c r="I28" s="11">
        <f t="shared" si="3"/>
        <v>0.08</v>
      </c>
      <c r="J28" s="11">
        <f t="shared" si="3"/>
        <v>0.06</v>
      </c>
      <c r="K28" s="11">
        <f t="shared" si="3"/>
        <v>0.05</v>
      </c>
    </row>
    <row r="29" spans="2:11" ht="3" customHeight="1" x14ac:dyDescent="0.25">
      <c r="G29" s="9"/>
      <c r="H29" s="9"/>
      <c r="I29" s="9"/>
      <c r="J29" s="9"/>
      <c r="K29" s="9"/>
    </row>
    <row r="30" spans="2:11" x14ac:dyDescent="0.25">
      <c r="B30" t="s">
        <v>57</v>
      </c>
      <c r="D30" s="7"/>
      <c r="E30" s="7"/>
      <c r="F30" s="7"/>
      <c r="G30" s="11">
        <v>0.16</v>
      </c>
      <c r="H30" s="11">
        <v>0.14000000000000001</v>
      </c>
      <c r="I30" s="11">
        <v>0.11</v>
      </c>
      <c r="J30" s="11">
        <v>0.09</v>
      </c>
      <c r="K30" s="11">
        <v>7.0000000000000007E-2</v>
      </c>
    </row>
    <row r="31" spans="2:11" x14ac:dyDescent="0.25">
      <c r="B31" t="s">
        <v>31</v>
      </c>
      <c r="D31" s="7"/>
      <c r="E31" s="7"/>
      <c r="F31" s="7"/>
      <c r="G31" s="11">
        <v>0.13</v>
      </c>
      <c r="H31" s="11">
        <v>0.1</v>
      </c>
      <c r="I31" s="11">
        <v>0.08</v>
      </c>
      <c r="J31" s="11">
        <v>0.06</v>
      </c>
      <c r="K31" s="11">
        <v>0.05</v>
      </c>
    </row>
    <row r="32" spans="2:11" x14ac:dyDescent="0.25">
      <c r="B32" t="s">
        <v>30</v>
      </c>
      <c r="D32" s="7"/>
      <c r="E32" s="7"/>
      <c r="F32" s="7"/>
      <c r="G32" s="11">
        <v>0.13</v>
      </c>
      <c r="H32" s="11">
        <v>0.09</v>
      </c>
      <c r="I32" s="11">
        <v>0.06</v>
      </c>
      <c r="J32" s="11">
        <v>0.04</v>
      </c>
      <c r="K32" s="11">
        <v>0.02</v>
      </c>
    </row>
    <row r="33" spans="2:11" x14ac:dyDescent="0.25">
      <c r="G33" s="9"/>
      <c r="H33" s="9"/>
      <c r="I33" s="9"/>
      <c r="J33" s="9"/>
      <c r="K33" s="9"/>
    </row>
    <row r="34" spans="2:11" x14ac:dyDescent="0.25">
      <c r="B34" s="5" t="s">
        <v>40</v>
      </c>
      <c r="G34" s="11">
        <f>CHOOSE($D$6, G36,G37,G38)</f>
        <v>0.35</v>
      </c>
      <c r="H34" s="11">
        <f t="shared" ref="H34:K34" si="4">CHOOSE($D$6, H36,H37,H38)</f>
        <v>0.3</v>
      </c>
      <c r="I34" s="11">
        <f t="shared" si="4"/>
        <v>0.26</v>
      </c>
      <c r="J34" s="11">
        <f t="shared" si="4"/>
        <v>0.22</v>
      </c>
      <c r="K34" s="11">
        <f t="shared" si="4"/>
        <v>0.18</v>
      </c>
    </row>
    <row r="35" spans="2:11" ht="3.75" customHeight="1" x14ac:dyDescent="0.25">
      <c r="G35" s="9"/>
      <c r="H35" s="9"/>
      <c r="I35" s="9"/>
      <c r="J35" s="9"/>
      <c r="K35" s="9"/>
    </row>
    <row r="36" spans="2:11" x14ac:dyDescent="0.25">
      <c r="B36" t="s">
        <v>57</v>
      </c>
      <c r="D36" s="7"/>
      <c r="E36" s="7"/>
      <c r="F36" s="7"/>
      <c r="G36" s="11">
        <v>0.38</v>
      </c>
      <c r="H36" s="11">
        <v>0.33</v>
      </c>
      <c r="I36" s="11">
        <v>0.28999999999999998</v>
      </c>
      <c r="J36" s="11">
        <v>0.25</v>
      </c>
      <c r="K36" s="11">
        <v>0.22</v>
      </c>
    </row>
    <row r="37" spans="2:11" x14ac:dyDescent="0.25">
      <c r="B37" t="s">
        <v>31</v>
      </c>
      <c r="D37" s="7"/>
      <c r="E37" s="7"/>
      <c r="F37" s="7"/>
      <c r="G37" s="11">
        <v>0.35</v>
      </c>
      <c r="H37" s="11">
        <v>0.3</v>
      </c>
      <c r="I37" s="11">
        <v>0.26</v>
      </c>
      <c r="J37" s="11">
        <v>0.22</v>
      </c>
      <c r="K37" s="11">
        <v>0.18</v>
      </c>
    </row>
    <row r="38" spans="2:11" x14ac:dyDescent="0.25">
      <c r="B38" t="s">
        <v>30</v>
      </c>
      <c r="D38" s="7"/>
      <c r="E38" s="7"/>
      <c r="F38" s="7"/>
      <c r="G38" s="11">
        <v>0.27</v>
      </c>
      <c r="H38" s="11">
        <v>0.2</v>
      </c>
      <c r="I38" s="11">
        <v>0.15</v>
      </c>
      <c r="J38" s="11">
        <v>0.12</v>
      </c>
      <c r="K38" s="11">
        <v>0.1</v>
      </c>
    </row>
    <row r="39" spans="2:11" x14ac:dyDescent="0.25">
      <c r="G39" s="9"/>
      <c r="H39" s="9"/>
      <c r="I39" s="9"/>
      <c r="J39" s="9"/>
      <c r="K39" s="9"/>
    </row>
    <row r="40" spans="2:11" x14ac:dyDescent="0.25">
      <c r="B40" s="5" t="s">
        <v>41</v>
      </c>
      <c r="G40" s="11">
        <f>CHOOSE($D$6, G42,G43,G44)</f>
        <v>0.309</v>
      </c>
      <c r="H40" s="11">
        <f t="shared" ref="H40:K40" si="5">CHOOSE($D$6, H42,H43,H44)</f>
        <v>0.309</v>
      </c>
      <c r="I40" s="11">
        <f t="shared" si="5"/>
        <v>0.309</v>
      </c>
      <c r="J40" s="11">
        <f t="shared" si="5"/>
        <v>0.309</v>
      </c>
      <c r="K40" s="11">
        <f t="shared" si="5"/>
        <v>0.309</v>
      </c>
    </row>
    <row r="41" spans="2:11" ht="4.5" customHeight="1" x14ac:dyDescent="0.25">
      <c r="G41" s="11"/>
      <c r="H41" s="9"/>
      <c r="I41" s="9"/>
      <c r="J41" s="9"/>
      <c r="K41" s="9"/>
    </row>
    <row r="42" spans="2:11" x14ac:dyDescent="0.25">
      <c r="B42" t="s">
        <v>57</v>
      </c>
      <c r="D42" s="7"/>
      <c r="E42" s="7"/>
      <c r="F42" s="7"/>
      <c r="G42" s="11">
        <v>0.4</v>
      </c>
      <c r="H42" s="11">
        <v>0.4</v>
      </c>
      <c r="I42" s="11">
        <v>0.4</v>
      </c>
      <c r="J42" s="11">
        <v>0.4</v>
      </c>
      <c r="K42" s="11">
        <v>0.4</v>
      </c>
    </row>
    <row r="43" spans="2:11" x14ac:dyDescent="0.25">
      <c r="B43" t="s">
        <v>31</v>
      </c>
      <c r="D43" s="7"/>
      <c r="E43" s="7"/>
      <c r="F43" s="7"/>
      <c r="G43" s="11">
        <v>0.309</v>
      </c>
      <c r="H43" s="11">
        <v>0.309</v>
      </c>
      <c r="I43" s="11">
        <v>0.309</v>
      </c>
      <c r="J43" s="11">
        <v>0.309</v>
      </c>
      <c r="K43" s="11">
        <v>0.309</v>
      </c>
    </row>
    <row r="44" spans="2:11" x14ac:dyDescent="0.25">
      <c r="B44" t="s">
        <v>30</v>
      </c>
      <c r="D44" s="7"/>
      <c r="E44" s="7"/>
      <c r="F44" s="7"/>
      <c r="G44" s="11">
        <v>0.1</v>
      </c>
      <c r="H44" s="11">
        <v>0.1</v>
      </c>
      <c r="I44" s="11">
        <v>0.1</v>
      </c>
      <c r="J44" s="11">
        <v>0.1</v>
      </c>
      <c r="K44" s="11">
        <v>0.1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Drop Down 1">
              <controlPr defaultSize="0" autoLine="0" autoPict="0">
                <anchor moveWithCells="1">
                  <from>
                    <xdr:col>3</xdr:col>
                    <xdr:colOff>9525</xdr:colOff>
                    <xdr:row>5</xdr:row>
                    <xdr:rowOff>0</xdr:rowOff>
                  </from>
                  <to>
                    <xdr:col>4</xdr:col>
                    <xdr:colOff>28575</xdr:colOff>
                    <xdr:row>6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98B4F-5D37-4AC0-9AC6-4486993E9D01}">
  <dimension ref="A2:AK69"/>
  <sheetViews>
    <sheetView tabSelected="1" topLeftCell="A41" zoomScale="90" zoomScaleNormal="90" workbookViewId="0">
      <selection activeCell="R26" sqref="R26"/>
    </sheetView>
  </sheetViews>
  <sheetFormatPr defaultRowHeight="15" x14ac:dyDescent="0.25"/>
  <cols>
    <col min="1" max="1" width="6.140625" customWidth="1"/>
    <col min="2" max="2" width="2.140625" customWidth="1"/>
    <col min="3" max="3" width="11.5703125" customWidth="1"/>
    <col min="4" max="4" width="11.28515625" customWidth="1"/>
    <col min="7" max="7" width="10.42578125" customWidth="1"/>
    <col min="10" max="10" width="9.5703125" customWidth="1"/>
    <col min="11" max="11" width="9.140625" customWidth="1"/>
    <col min="12" max="12" width="8.85546875" customWidth="1"/>
    <col min="13" max="13" width="8.7109375" customWidth="1"/>
    <col min="14" max="14" width="8.85546875" customWidth="1"/>
    <col min="17" max="17" width="12" bestFit="1" customWidth="1"/>
    <col min="18" max="21" width="10.28515625" bestFit="1" customWidth="1"/>
  </cols>
  <sheetData>
    <row r="2" spans="1:37" ht="21" x14ac:dyDescent="0.35">
      <c r="A2" s="15"/>
      <c r="B2" s="16" t="s">
        <v>64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</row>
    <row r="4" spans="1:37" x14ac:dyDescent="0.25">
      <c r="C4" t="s">
        <v>58</v>
      </c>
      <c r="D4" t="s">
        <v>59</v>
      </c>
      <c r="G4" t="s">
        <v>62</v>
      </c>
    </row>
    <row r="5" spans="1:37" x14ac:dyDescent="0.25">
      <c r="C5" t="s">
        <v>60</v>
      </c>
      <c r="D5" s="17">
        <v>45951</v>
      </c>
      <c r="G5" t="s">
        <v>63</v>
      </c>
    </row>
    <row r="6" spans="1:37" x14ac:dyDescent="0.25">
      <c r="C6" t="s">
        <v>61</v>
      </c>
      <c r="D6" s="17">
        <v>46022</v>
      </c>
    </row>
    <row r="8" spans="1:37" x14ac:dyDescent="0.25">
      <c r="A8" s="24"/>
      <c r="B8" s="25" t="s">
        <v>79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</row>
    <row r="9" spans="1:37" x14ac:dyDescent="0.25">
      <c r="G9" s="30">
        <v>2022</v>
      </c>
      <c r="H9" s="30">
        <v>2023</v>
      </c>
      <c r="I9" s="30">
        <v>2024</v>
      </c>
      <c r="J9" s="31">
        <v>2025</v>
      </c>
      <c r="K9" s="31">
        <v>2026</v>
      </c>
      <c r="L9" s="31">
        <v>2027</v>
      </c>
      <c r="M9" s="31">
        <v>2028</v>
      </c>
      <c r="N9" s="31">
        <v>2029</v>
      </c>
    </row>
    <row r="10" spans="1:37" x14ac:dyDescent="0.25">
      <c r="B10" t="s">
        <v>66</v>
      </c>
    </row>
    <row r="11" spans="1:37" x14ac:dyDescent="0.25">
      <c r="C11" t="s">
        <v>67</v>
      </c>
      <c r="G11">
        <v>162450</v>
      </c>
      <c r="H11">
        <v>175003</v>
      </c>
      <c r="I11">
        <v>198084</v>
      </c>
      <c r="J11">
        <f>I11*(1+J12)</f>
        <v>221854.08000000002</v>
      </c>
      <c r="K11">
        <f t="shared" ref="K11:N11" si="0">J11*(1+K12)</f>
        <v>244039.48800000004</v>
      </c>
      <c r="L11">
        <f t="shared" si="0"/>
        <v>263562.64704000007</v>
      </c>
      <c r="M11">
        <f t="shared" si="0"/>
        <v>279376.40586240008</v>
      </c>
      <c r="N11">
        <f t="shared" si="0"/>
        <v>293345.22615552007</v>
      </c>
    </row>
    <row r="12" spans="1:37" x14ac:dyDescent="0.25">
      <c r="C12" s="18" t="s">
        <v>72</v>
      </c>
      <c r="G12" s="11">
        <f>162450/148961 - 1</f>
        <v>9.0553903370680811E-2</v>
      </c>
      <c r="H12" s="11">
        <f>H11/G11 - 1</f>
        <v>7.727300707910123E-2</v>
      </c>
      <c r="I12" s="11">
        <f>I11/H11 - 1</f>
        <v>0.1318891676142695</v>
      </c>
      <c r="J12" s="11">
        <f>Scenarios!G10</f>
        <v>0.12</v>
      </c>
      <c r="K12" s="11">
        <f>Scenarios!H10</f>
        <v>0.1</v>
      </c>
      <c r="L12" s="11">
        <f>Scenarios!I10</f>
        <v>0.08</v>
      </c>
      <c r="M12" s="11">
        <f>Scenarios!J10</f>
        <v>0.06</v>
      </c>
      <c r="N12" s="11">
        <f>Scenarios!K10</f>
        <v>0.05</v>
      </c>
    </row>
    <row r="13" spans="1:37" x14ac:dyDescent="0.25">
      <c r="C13" t="s">
        <v>68</v>
      </c>
      <c r="G13">
        <v>32780</v>
      </c>
      <c r="H13">
        <v>31312</v>
      </c>
      <c r="I13">
        <v>30359</v>
      </c>
      <c r="J13">
        <f>I13*(1+J14)</f>
        <v>30055.41</v>
      </c>
      <c r="K13">
        <f t="shared" ref="K13:N13" si="1">J13*(1+K14)</f>
        <v>29754.855899999999</v>
      </c>
      <c r="L13">
        <f t="shared" si="1"/>
        <v>29457.307341</v>
      </c>
      <c r="M13">
        <f t="shared" si="1"/>
        <v>29162.73426759</v>
      </c>
      <c r="N13">
        <f t="shared" si="1"/>
        <v>28871.1069249141</v>
      </c>
    </row>
    <row r="14" spans="1:37" x14ac:dyDescent="0.25">
      <c r="C14" s="18" t="s">
        <v>72</v>
      </c>
      <c r="G14" s="11">
        <f>G13/31701 - 1</f>
        <v>3.4036781174095365E-2</v>
      </c>
      <c r="H14" s="11">
        <f>H13/G13 - 1</f>
        <v>-4.4783404514948111E-2</v>
      </c>
      <c r="I14" s="11">
        <f>I13/H13 - 1</f>
        <v>-3.0435615738375055E-2</v>
      </c>
      <c r="J14" s="11">
        <f>Scenarios!G16</f>
        <v>-0.01</v>
      </c>
      <c r="K14" s="11">
        <f>Scenarios!H16</f>
        <v>-0.01</v>
      </c>
      <c r="L14" s="11">
        <f>Scenarios!I16</f>
        <v>-0.01</v>
      </c>
      <c r="M14" s="11">
        <f>Scenarios!J16</f>
        <v>-0.01</v>
      </c>
      <c r="N14" s="11">
        <f>Scenarios!K16</f>
        <v>-0.01</v>
      </c>
    </row>
    <row r="15" spans="1:37" x14ac:dyDescent="0.25">
      <c r="C15" t="s">
        <v>69</v>
      </c>
      <c r="G15">
        <v>29243</v>
      </c>
      <c r="H15">
        <v>31510</v>
      </c>
      <c r="I15">
        <v>36147</v>
      </c>
      <c r="J15">
        <f>I15*(1+J16)</f>
        <v>41569.049999999996</v>
      </c>
      <c r="K15">
        <f t="shared" ref="K15:N15" si="2">J15*(1+K16)</f>
        <v>47388.716999999997</v>
      </c>
      <c r="L15">
        <f t="shared" si="2"/>
        <v>53549.250209999991</v>
      </c>
      <c r="M15">
        <f t="shared" si="2"/>
        <v>59975.160235199997</v>
      </c>
      <c r="N15">
        <f t="shared" si="2"/>
        <v>67172.179463424007</v>
      </c>
    </row>
    <row r="16" spans="1:37" x14ac:dyDescent="0.25">
      <c r="C16" s="18" t="s">
        <v>72</v>
      </c>
      <c r="G16" s="11">
        <f>G15/28845 - 1</f>
        <v>1.3797885248743258E-2</v>
      </c>
      <c r="H16" s="11">
        <f>H15/G15 - 1</f>
        <v>7.7522825975447018E-2</v>
      </c>
      <c r="I16" s="11">
        <f>I15/H15 - 1</f>
        <v>0.14715963186290071</v>
      </c>
      <c r="J16" s="11">
        <f>Scenarios!G22</f>
        <v>0.15</v>
      </c>
      <c r="K16" s="11">
        <f>Scenarios!H22</f>
        <v>0.14000000000000001</v>
      </c>
      <c r="L16" s="11">
        <f>Scenarios!I22</f>
        <v>0.13</v>
      </c>
      <c r="M16" s="11">
        <f>Scenarios!J22</f>
        <v>0.12</v>
      </c>
      <c r="N16" s="11">
        <f>Scenarios!K22</f>
        <v>0.12</v>
      </c>
    </row>
    <row r="17" spans="1:21" x14ac:dyDescent="0.25">
      <c r="C17" t="s">
        <v>70</v>
      </c>
      <c r="G17">
        <v>29055</v>
      </c>
      <c r="H17">
        <v>34688</v>
      </c>
      <c r="I17">
        <v>40340</v>
      </c>
      <c r="J17">
        <f>I17*(1+J18)</f>
        <v>45584.2</v>
      </c>
      <c r="K17">
        <f t="shared" ref="K17:N17" si="3">J17*(1+K18)</f>
        <v>50142.62</v>
      </c>
      <c r="L17">
        <f t="shared" si="3"/>
        <v>54154.029600000009</v>
      </c>
      <c r="M17">
        <f t="shared" si="3"/>
        <v>57403.271376000012</v>
      </c>
      <c r="N17">
        <f t="shared" si="3"/>
        <v>60273.434944800014</v>
      </c>
    </row>
    <row r="18" spans="1:21" x14ac:dyDescent="0.25">
      <c r="C18" s="18" t="s">
        <v>72</v>
      </c>
      <c r="G18" s="11">
        <f>G17/28032 - 1</f>
        <v>3.6494006849315141E-2</v>
      </c>
      <c r="H18" s="11">
        <f>H17/G17 - 1</f>
        <v>0.19387368783341929</v>
      </c>
      <c r="I18" s="11">
        <f>I17/H17 - 1</f>
        <v>0.16293819188191883</v>
      </c>
      <c r="J18" s="11">
        <f>Scenarios!G28</f>
        <v>0.13</v>
      </c>
      <c r="K18" s="11">
        <f>Scenarios!H28</f>
        <v>0.1</v>
      </c>
      <c r="L18" s="11">
        <f>Scenarios!I28</f>
        <v>0.08</v>
      </c>
      <c r="M18" s="11">
        <f>Scenarios!J28</f>
        <v>0.06</v>
      </c>
      <c r="N18" s="11">
        <f>Scenarios!K28</f>
        <v>0.05</v>
      </c>
    </row>
    <row r="19" spans="1:21" x14ac:dyDescent="0.25">
      <c r="C19" t="s">
        <v>71</v>
      </c>
      <c r="G19">
        <v>26280</v>
      </c>
      <c r="H19">
        <v>33088</v>
      </c>
      <c r="I19">
        <v>43229</v>
      </c>
      <c r="J19">
        <f>I19*(1+J20)</f>
        <v>58359.15</v>
      </c>
      <c r="K19">
        <f>J19*(1+K20)</f>
        <v>75866.895000000004</v>
      </c>
      <c r="L19">
        <f t="shared" ref="L19:N19" si="4">K19*(1+L20)</f>
        <v>95592.287700000001</v>
      </c>
      <c r="M19">
        <f t="shared" si="4"/>
        <v>116622.590994</v>
      </c>
      <c r="N19">
        <f t="shared" si="4"/>
        <v>137614.65737291999</v>
      </c>
    </row>
    <row r="20" spans="1:21" x14ac:dyDescent="0.25">
      <c r="C20" s="18" t="s">
        <v>72</v>
      </c>
      <c r="G20" s="11">
        <f>G19/19206 - 1</f>
        <v>0.36832239925023424</v>
      </c>
      <c r="H20" s="11">
        <f>H19/G19 - 1</f>
        <v>0.25905631659056327</v>
      </c>
      <c r="I20" s="11">
        <f>I19/H19 - 1</f>
        <v>0.30648573500967125</v>
      </c>
      <c r="J20" s="11">
        <f>Scenarios!G34</f>
        <v>0.35</v>
      </c>
      <c r="K20" s="11">
        <f>Scenarios!H34</f>
        <v>0.3</v>
      </c>
      <c r="L20" s="11">
        <f>Scenarios!I34</f>
        <v>0.26</v>
      </c>
      <c r="M20" s="11">
        <f>Scenarios!J34</f>
        <v>0.22</v>
      </c>
      <c r="N20" s="11">
        <f>Scenarios!K34</f>
        <v>0.18</v>
      </c>
    </row>
    <row r="21" spans="1:21" x14ac:dyDescent="0.25">
      <c r="C21" t="s">
        <v>28</v>
      </c>
      <c r="G21">
        <v>1068</v>
      </c>
      <c r="H21">
        <v>1527</v>
      </c>
      <c r="I21">
        <v>1648</v>
      </c>
      <c r="J21">
        <f>I21*(1+J22)</f>
        <v>2157.232</v>
      </c>
      <c r="K21">
        <f t="shared" ref="K21:N21" si="5">J21*(1+K22)</f>
        <v>2823.8166879999999</v>
      </c>
      <c r="L21">
        <f t="shared" si="5"/>
        <v>3696.3760445919997</v>
      </c>
      <c r="M21">
        <f t="shared" si="5"/>
        <v>4838.5562423709271</v>
      </c>
      <c r="N21">
        <f t="shared" si="5"/>
        <v>6333.6701212635435</v>
      </c>
    </row>
    <row r="22" spans="1:21" x14ac:dyDescent="0.25">
      <c r="B22" s="15"/>
      <c r="C22" s="19" t="s">
        <v>72</v>
      </c>
      <c r="D22" s="15"/>
      <c r="E22" s="15"/>
      <c r="F22" s="15"/>
      <c r="G22" s="20">
        <f>G21/753 - 1</f>
        <v>0.41832669322709171</v>
      </c>
      <c r="H22" s="20">
        <f>H21/G21 - 1</f>
        <v>0.4297752808988764</v>
      </c>
      <c r="I22" s="20">
        <f>I21/H21 - 1</f>
        <v>7.9240340537000575E-2</v>
      </c>
      <c r="J22" s="20">
        <f>Scenarios!G40</f>
        <v>0.309</v>
      </c>
      <c r="K22" s="20">
        <f>Scenarios!H40</f>
        <v>0.309</v>
      </c>
      <c r="L22" s="20">
        <f>Scenarios!I40</f>
        <v>0.309</v>
      </c>
      <c r="M22" s="20">
        <f>Scenarios!J40</f>
        <v>0.309</v>
      </c>
      <c r="N22" s="20">
        <f>Scenarios!K40</f>
        <v>0.309</v>
      </c>
    </row>
    <row r="23" spans="1:21" x14ac:dyDescent="0.25">
      <c r="B23" t="s">
        <v>73</v>
      </c>
      <c r="G23">
        <f>G11+G13+G15+G17+G19+G21</f>
        <v>280876</v>
      </c>
      <c r="H23">
        <f t="shared" ref="H23:N23" si="6">H11+H13+H15+H17+H19+H21</f>
        <v>307128</v>
      </c>
      <c r="I23">
        <f t="shared" si="6"/>
        <v>349807</v>
      </c>
      <c r="J23">
        <f t="shared" si="6"/>
        <v>399579.12200000009</v>
      </c>
      <c r="K23">
        <f t="shared" si="6"/>
        <v>450016.39258800005</v>
      </c>
      <c r="L23">
        <f t="shared" si="6"/>
        <v>500011.89793559205</v>
      </c>
      <c r="M23">
        <f t="shared" si="6"/>
        <v>547378.7189775611</v>
      </c>
      <c r="N23">
        <f t="shared" si="6"/>
        <v>593610.2749828418</v>
      </c>
    </row>
    <row r="24" spans="1:21" x14ac:dyDescent="0.25">
      <c r="C24" s="22" t="s">
        <v>72</v>
      </c>
      <c r="G24" s="11">
        <f>G23/257637 - 1</f>
        <v>9.020055349192857E-2</v>
      </c>
      <c r="H24" s="11">
        <f>H23/G23 - 1</f>
        <v>9.3464731767755271E-2</v>
      </c>
      <c r="I24" s="11">
        <f t="shared" ref="I24:N24" si="7">I23/H23 - 1</f>
        <v>0.13896160558464232</v>
      </c>
      <c r="J24" s="11">
        <f t="shared" si="7"/>
        <v>0.14228452260818125</v>
      </c>
      <c r="K24" s="11">
        <f t="shared" si="7"/>
        <v>0.12622599082641739</v>
      </c>
      <c r="L24" s="11">
        <f t="shared" si="7"/>
        <v>0.11109707595332874</v>
      </c>
      <c r="M24" s="11">
        <f t="shared" si="7"/>
        <v>9.4731387868035366E-2</v>
      </c>
      <c r="N24" s="11">
        <f t="shared" si="7"/>
        <v>8.4459907560227698E-2</v>
      </c>
    </row>
    <row r="26" spans="1:21" x14ac:dyDescent="0.25">
      <c r="B26" t="s">
        <v>74</v>
      </c>
      <c r="G26">
        <v>74842</v>
      </c>
      <c r="H26">
        <v>84293</v>
      </c>
      <c r="I26">
        <v>112390</v>
      </c>
      <c r="J26">
        <f>J23*J27</f>
        <v>111882.15416000003</v>
      </c>
      <c r="K26">
        <f t="shared" ref="K26:N26" si="8">K23*K27</f>
        <v>117004.26207288001</v>
      </c>
      <c r="L26">
        <f t="shared" si="8"/>
        <v>135003.21244260986</v>
      </c>
      <c r="M26">
        <f t="shared" si="8"/>
        <v>147792.2541239415</v>
      </c>
      <c r="N26">
        <f t="shared" si="8"/>
        <v>142466.46599588203</v>
      </c>
      <c r="Q26">
        <f>J23*0.321</f>
        <v>128264.89816200003</v>
      </c>
      <c r="R26">
        <f t="shared" ref="R26:U26" si="9">K23*0.321</f>
        <v>144455.26202074802</v>
      </c>
      <c r="S26">
        <f t="shared" si="9"/>
        <v>160503.81923732505</v>
      </c>
      <c r="T26">
        <f t="shared" si="9"/>
        <v>175708.56879179712</v>
      </c>
      <c r="U26">
        <f t="shared" si="9"/>
        <v>190548.89826949223</v>
      </c>
    </row>
    <row r="27" spans="1:21" x14ac:dyDescent="0.25">
      <c r="C27" s="18" t="s">
        <v>75</v>
      </c>
      <c r="G27" s="11">
        <f>G26/G23</f>
        <v>0.26645922043891257</v>
      </c>
      <c r="H27" s="11">
        <f t="shared" ref="H27:I27" si="10">H26/H23</f>
        <v>0.27445560157328541</v>
      </c>
      <c r="I27" s="11">
        <f t="shared" si="10"/>
        <v>0.32129145500232986</v>
      </c>
      <c r="J27" s="11">
        <v>0.28000000000000003</v>
      </c>
      <c r="K27" s="11">
        <v>0.26</v>
      </c>
      <c r="L27" s="11">
        <v>0.27</v>
      </c>
      <c r="M27" s="11">
        <v>0.27</v>
      </c>
      <c r="N27" s="11">
        <v>0.24</v>
      </c>
      <c r="Q27" s="32">
        <v>20000</v>
      </c>
      <c r="R27" s="32">
        <v>35000</v>
      </c>
      <c r="S27" s="32">
        <v>30000</v>
      </c>
      <c r="T27" s="32">
        <v>25000</v>
      </c>
      <c r="U27" s="32">
        <v>15000</v>
      </c>
    </row>
    <row r="28" spans="1:21" x14ac:dyDescent="0.25">
      <c r="Q28">
        <f>Q26-Q27</f>
        <v>108264.89816200003</v>
      </c>
      <c r="R28">
        <f t="shared" ref="R28:U28" si="11">R26-R27</f>
        <v>109455.26202074802</v>
      </c>
      <c r="S28">
        <f t="shared" si="11"/>
        <v>130503.81923732505</v>
      </c>
      <c r="T28">
        <f t="shared" si="11"/>
        <v>150708.56879179712</v>
      </c>
      <c r="U28">
        <f t="shared" si="11"/>
        <v>175548.89826949223</v>
      </c>
    </row>
    <row r="29" spans="1:21" x14ac:dyDescent="0.25">
      <c r="B29" t="s">
        <v>51</v>
      </c>
      <c r="G29">
        <v>11356</v>
      </c>
      <c r="H29">
        <v>11922</v>
      </c>
      <c r="I29">
        <v>19697</v>
      </c>
      <c r="J29" s="23">
        <f>J30*J26</f>
        <v>17469.429536018873</v>
      </c>
      <c r="K29" s="23">
        <f>K30*K26</f>
        <v>18441.134495093214</v>
      </c>
      <c r="L29" s="23">
        <f t="shared" ref="L29:N29" si="12">L30*L26</f>
        <v>22005.880889287699</v>
      </c>
      <c r="M29" s="23">
        <f t="shared" si="12"/>
        <v>23486.887846497699</v>
      </c>
      <c r="N29" s="23">
        <f t="shared" si="12"/>
        <v>22772.395490928626</v>
      </c>
    </row>
    <row r="30" spans="1:21" x14ac:dyDescent="0.25">
      <c r="C30" s="18" t="s">
        <v>78</v>
      </c>
      <c r="G30" s="11">
        <f>G29/G26</f>
        <v>0.15173298415328293</v>
      </c>
      <c r="H30" s="11">
        <f t="shared" ref="H30:I30" si="13">H29/H26</f>
        <v>0.14143523186978751</v>
      </c>
      <c r="I30" s="11">
        <f t="shared" si="13"/>
        <v>0.17525580567666163</v>
      </c>
      <c r="J30" s="11">
        <f>AVERAGE(G30:I30)</f>
        <v>0.15614134056657736</v>
      </c>
      <c r="K30" s="11">
        <f t="shared" ref="K30:N30" si="14">AVERAGE(H30:J30)</f>
        <v>0.15761079270434217</v>
      </c>
      <c r="L30" s="11">
        <f t="shared" si="14"/>
        <v>0.16300264631586039</v>
      </c>
      <c r="M30" s="11">
        <f t="shared" si="14"/>
        <v>0.15891825986225996</v>
      </c>
      <c r="N30" s="11">
        <f t="shared" si="14"/>
        <v>0.15984389962748749</v>
      </c>
    </row>
    <row r="31" spans="1:21" x14ac:dyDescent="0.25">
      <c r="C31" s="18"/>
      <c r="G31" s="11"/>
      <c r="H31" s="11"/>
      <c r="I31" s="11"/>
      <c r="J31" s="11"/>
      <c r="K31" s="11"/>
      <c r="L31" s="11"/>
      <c r="M31" s="11"/>
      <c r="N31" s="11"/>
    </row>
    <row r="32" spans="1:21" x14ac:dyDescent="0.25">
      <c r="A32" s="24"/>
      <c r="B32" s="25" t="s">
        <v>80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</row>
    <row r="33" spans="1:16" x14ac:dyDescent="0.25">
      <c r="B33" t="s">
        <v>81</v>
      </c>
      <c r="G33">
        <f>13475+641</f>
        <v>14116</v>
      </c>
      <c r="H33">
        <f>11946+343+126</f>
        <v>12415</v>
      </c>
      <c r="I33">
        <f>443+15311</f>
        <v>15754</v>
      </c>
      <c r="J33">
        <f>J37*J35</f>
        <v>36104.133553013853</v>
      </c>
      <c r="K33">
        <f t="shared" ref="K33:N33" si="15">K37*K35</f>
        <v>51693.77297893256</v>
      </c>
      <c r="L33">
        <f t="shared" si="15"/>
        <v>47881.139346312302</v>
      </c>
      <c r="M33">
        <f t="shared" si="15"/>
        <v>40333.168766767667</v>
      </c>
      <c r="N33">
        <f t="shared" si="15"/>
        <v>32853.378025950973</v>
      </c>
    </row>
    <row r="34" spans="1:16" x14ac:dyDescent="0.25">
      <c r="C34" s="18" t="s">
        <v>75</v>
      </c>
      <c r="G34" s="11">
        <f t="shared" ref="G34:N34" si="16">G33/G23</f>
        <v>5.0257052934390978E-2</v>
      </c>
      <c r="H34" s="11">
        <f t="shared" si="16"/>
        <v>4.0422885572139307E-2</v>
      </c>
      <c r="I34" s="11">
        <f t="shared" si="16"/>
        <v>4.5036262853516369E-2</v>
      </c>
      <c r="J34" s="11">
        <f t="shared" si="16"/>
        <v>9.0355405388307164E-2</v>
      </c>
      <c r="K34" s="11">
        <f t="shared" si="16"/>
        <v>0.11487086655143106</v>
      </c>
      <c r="L34" s="11">
        <f t="shared" si="16"/>
        <v>9.5760000000000012E-2</v>
      </c>
      <c r="M34" s="11">
        <f t="shared" si="16"/>
        <v>7.3684210526315796E-2</v>
      </c>
      <c r="N34" s="11">
        <f t="shared" si="16"/>
        <v>5.53450292397661E-2</v>
      </c>
    </row>
    <row r="35" spans="1:16" x14ac:dyDescent="0.25">
      <c r="C35" s="18" t="s">
        <v>82</v>
      </c>
      <c r="G35" s="11">
        <f>G33/G37</f>
        <v>0.44834047959345719</v>
      </c>
      <c r="H35" s="11">
        <f t="shared" ref="H35:I35" si="17">H33/H37</f>
        <v>0.38494930389755355</v>
      </c>
      <c r="I35" s="11">
        <f t="shared" si="17"/>
        <v>0.29987627296088321</v>
      </c>
      <c r="J35" s="9">
        <f>I35*(1+(J38/I38 - 1))</f>
        <v>0.42475451238839829</v>
      </c>
      <c r="K35" s="9">
        <v>0.54</v>
      </c>
      <c r="L35" s="9">
        <v>0.56000000000000005</v>
      </c>
      <c r="M35" s="9">
        <f>L35*(1+(M38/L38 - 1))</f>
        <v>0.49122807017543862</v>
      </c>
      <c r="N35" s="9">
        <f t="shared" ref="N35" si="18">M35*(1+(N38/M38 - 1))</f>
        <v>0.42573099415204685</v>
      </c>
    </row>
    <row r="37" spans="1:16" x14ac:dyDescent="0.25">
      <c r="B37" t="s">
        <v>85</v>
      </c>
      <c r="G37">
        <v>31485</v>
      </c>
      <c r="H37">
        <v>32251</v>
      </c>
      <c r="I37">
        <v>52535</v>
      </c>
      <c r="J37">
        <v>85000</v>
      </c>
      <c r="K37">
        <f>K23*K38</f>
        <v>95729.209220245481</v>
      </c>
      <c r="L37">
        <f>L23*L38</f>
        <v>85502.034546986251</v>
      </c>
      <c r="M37">
        <f>M23*M38</f>
        <v>82106.807846634169</v>
      </c>
      <c r="N37">
        <f>N23*N38</f>
        <v>77169.335747769437</v>
      </c>
      <c r="P37" t="s">
        <v>88</v>
      </c>
    </row>
    <row r="38" spans="1:16" x14ac:dyDescent="0.25">
      <c r="C38" s="18" t="s">
        <v>75</v>
      </c>
      <c r="G38" s="11">
        <f>G37/G23</f>
        <v>0.11209572907617596</v>
      </c>
      <c r="H38" s="11">
        <f>H37/H23</f>
        <v>0.10500833528691621</v>
      </c>
      <c r="I38" s="11">
        <f>I37/I23</f>
        <v>0.15018281509518105</v>
      </c>
      <c r="J38" s="11">
        <f>J37/J23</f>
        <v>0.21272382694709455</v>
      </c>
      <c r="K38" s="11">
        <f>J38</f>
        <v>0.21272382694709455</v>
      </c>
      <c r="L38" s="11">
        <v>0.17100000000000001</v>
      </c>
      <c r="M38" s="11">
        <v>0.15</v>
      </c>
      <c r="N38" s="11">
        <v>0.13</v>
      </c>
      <c r="O38" s="11"/>
    </row>
    <row r="40" spans="1:16" x14ac:dyDescent="0.25">
      <c r="B40" t="s">
        <v>91</v>
      </c>
      <c r="G40">
        <f>-2317 +584 - 5046 + 707  +3915 - 445 + 367</f>
        <v>-2235</v>
      </c>
      <c r="H40">
        <f>-7833 + 523 - 2143 +664 + 3937 +482 + 525</f>
        <v>-3845</v>
      </c>
      <c r="I40">
        <f xml:space="preserve"> -5891 - 2418 - 1397 + 359 - 1161 + 1059 + 1043</f>
        <v>-8406</v>
      </c>
      <c r="J40">
        <f t="shared" ref="J40:N41" si="19">J41*J23</f>
        <v>-7487.4989834059479</v>
      </c>
      <c r="K40">
        <f t="shared" si="19"/>
        <v>-7480.8931110328758</v>
      </c>
      <c r="L40">
        <f t="shared" si="19"/>
        <v>-7315.7573834096202</v>
      </c>
      <c r="M40">
        <f t="shared" si="19"/>
        <v>-6829.0160900775518</v>
      </c>
      <c r="N40">
        <f t="shared" si="19"/>
        <v>-6602.8029785323342</v>
      </c>
    </row>
    <row r="41" spans="1:16" x14ac:dyDescent="0.25">
      <c r="C41" s="18" t="s">
        <v>75</v>
      </c>
      <c r="G41" s="11">
        <f t="shared" ref="G41:I42" si="20">G40/G23</f>
        <v>-7.9572480382802367E-3</v>
      </c>
      <c r="H41" s="11">
        <f t="shared" si="20"/>
        <v>-1.251921023156469E-2</v>
      </c>
      <c r="I41" s="11">
        <f t="shared" si="20"/>
        <v>-2.4030393902923611E-2</v>
      </c>
      <c r="J41" s="9">
        <f t="shared" si="19"/>
        <v>-1.8738463976618745E-2</v>
      </c>
      <c r="K41" s="9">
        <f t="shared" si="19"/>
        <v>-1.6623601349299733E-2</v>
      </c>
      <c r="L41" s="9">
        <f t="shared" si="19"/>
        <v>-1.4631166605463423E-2</v>
      </c>
      <c r="M41" s="9">
        <f t="shared" si="19"/>
        <v>-1.2475852372984738E-2</v>
      </c>
      <c r="N41" s="9">
        <f t="shared" si="19"/>
        <v>-1.1123127844650579E-2</v>
      </c>
    </row>
    <row r="42" spans="1:16" x14ac:dyDescent="0.25">
      <c r="C42" s="18" t="s">
        <v>92</v>
      </c>
      <c r="G42" s="9">
        <f t="shared" si="20"/>
        <v>-8.8217286149937832E-2</v>
      </c>
      <c r="H42" s="9">
        <f t="shared" si="20"/>
        <v>-0.13394582100415053</v>
      </c>
      <c r="I42" s="9">
        <f t="shared" si="20"/>
        <v>-0.17292829772527749</v>
      </c>
      <c r="J42" s="9">
        <f>AVERAGE(G42:I42)</f>
        <v>-0.13169713495978863</v>
      </c>
      <c r="K42" s="9">
        <f>J42</f>
        <v>-0.13169713495978863</v>
      </c>
      <c r="L42" s="9">
        <f t="shared" ref="L42:N42" si="21">K42</f>
        <v>-0.13169713495978863</v>
      </c>
      <c r="M42" s="9">
        <f t="shared" si="21"/>
        <v>-0.13169713495978863</v>
      </c>
      <c r="N42" s="9">
        <f t="shared" si="21"/>
        <v>-0.13169713495978863</v>
      </c>
    </row>
    <row r="44" spans="1:16" x14ac:dyDescent="0.25">
      <c r="A44" s="24"/>
      <c r="B44" s="25" t="s">
        <v>108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</row>
    <row r="45" spans="1:16" x14ac:dyDescent="0.25">
      <c r="B45" s="5" t="s">
        <v>107</v>
      </c>
      <c r="J45" s="23">
        <f>J26-J29</f>
        <v>94412.724623981165</v>
      </c>
      <c r="K45" s="23">
        <f t="shared" ref="K45:N45" si="22">K26-K29</f>
        <v>98563.1275777868</v>
      </c>
      <c r="L45" s="23">
        <f t="shared" si="22"/>
        <v>112997.33155332216</v>
      </c>
      <c r="M45" s="23">
        <f t="shared" si="22"/>
        <v>124305.3662774438</v>
      </c>
      <c r="N45" s="23">
        <f t="shared" si="22"/>
        <v>119694.0705049534</v>
      </c>
    </row>
    <row r="46" spans="1:16" x14ac:dyDescent="0.25">
      <c r="A46" t="s">
        <v>109</v>
      </c>
      <c r="B46" s="5" t="s">
        <v>81</v>
      </c>
      <c r="J46" s="23">
        <f>J33</f>
        <v>36104.133553013853</v>
      </c>
      <c r="K46" s="23">
        <f t="shared" ref="K46:N46" si="23">K33</f>
        <v>51693.77297893256</v>
      </c>
      <c r="L46" s="23">
        <f t="shared" si="23"/>
        <v>47881.139346312302</v>
      </c>
      <c r="M46" s="23">
        <f t="shared" si="23"/>
        <v>40333.168766767667</v>
      </c>
      <c r="N46" s="23">
        <f t="shared" si="23"/>
        <v>32853.378025950973</v>
      </c>
    </row>
    <row r="47" spans="1:16" x14ac:dyDescent="0.25">
      <c r="A47" t="s">
        <v>3</v>
      </c>
      <c r="B47" s="5" t="s">
        <v>85</v>
      </c>
      <c r="J47">
        <f>J37</f>
        <v>85000</v>
      </c>
      <c r="K47">
        <f t="shared" ref="K47:N47" si="24">K37</f>
        <v>95729.209220245481</v>
      </c>
      <c r="L47">
        <f t="shared" si="24"/>
        <v>85502.034546986251</v>
      </c>
      <c r="M47">
        <f t="shared" si="24"/>
        <v>82106.807846634169</v>
      </c>
      <c r="N47">
        <f t="shared" si="24"/>
        <v>77169.335747769437</v>
      </c>
    </row>
    <row r="48" spans="1:16" x14ac:dyDescent="0.25">
      <c r="A48" t="s">
        <v>3</v>
      </c>
      <c r="B48" s="5" t="s">
        <v>91</v>
      </c>
      <c r="J48">
        <f>J40</f>
        <v>-7487.4989834059479</v>
      </c>
      <c r="K48">
        <f t="shared" ref="K48:N48" si="25">K40</f>
        <v>-7480.8931110328758</v>
      </c>
      <c r="L48">
        <f t="shared" si="25"/>
        <v>-7315.7573834096202</v>
      </c>
      <c r="M48">
        <f t="shared" si="25"/>
        <v>-6829.0160900775518</v>
      </c>
      <c r="N48">
        <f t="shared" si="25"/>
        <v>-6602.8029785323342</v>
      </c>
    </row>
    <row r="49" spans="1:17" x14ac:dyDescent="0.25">
      <c r="A49" t="s">
        <v>110</v>
      </c>
      <c r="B49" s="5" t="s">
        <v>111</v>
      </c>
      <c r="J49" s="23">
        <f>J45+J46-J47-J48</f>
        <v>53004.357160400956</v>
      </c>
      <c r="K49" s="23">
        <f t="shared" ref="K49:N49" si="26">K45+K46-K47-K48</f>
        <v>62008.584447506764</v>
      </c>
      <c r="L49" s="23">
        <f t="shared" si="26"/>
        <v>82692.193736057845</v>
      </c>
      <c r="M49" s="23">
        <f t="shared" si="26"/>
        <v>89360.743287654841</v>
      </c>
      <c r="N49" s="23">
        <f t="shared" si="26"/>
        <v>81980.91576166726</v>
      </c>
    </row>
    <row r="51" spans="1:17" x14ac:dyDescent="0.25">
      <c r="B51" s="5" t="s">
        <v>112</v>
      </c>
      <c r="J51">
        <f>J49/((1+Wacc!$C$16)^(J9-$I$9))</f>
        <v>49117.632689204431</v>
      </c>
      <c r="K51">
        <f>K49/((1+Wacc!$C$16)^(K9-$I$9))</f>
        <v>53248.027906127354</v>
      </c>
      <c r="L51">
        <f>L49/((1+Wacc!$C$16)^(L9-$I$9))</f>
        <v>65802.452357149858</v>
      </c>
      <c r="M51">
        <f>M49/((1+Wacc!$C$16)^(M9-$I$9))</f>
        <v>65894.655798575041</v>
      </c>
      <c r="N51">
        <f>N49/((1+Wacc!$C$16)^(N9-$I$9))</f>
        <v>56019.862930199539</v>
      </c>
    </row>
    <row r="52" spans="1:17" x14ac:dyDescent="0.25">
      <c r="B52" s="5" t="s">
        <v>113</v>
      </c>
      <c r="N52">
        <f>N49*(1+Wacc!C18)/(Wacc!C16-Wacc!C18)</f>
        <v>1718679.5597106747</v>
      </c>
    </row>
    <row r="53" spans="1:17" x14ac:dyDescent="0.25">
      <c r="B53" s="5" t="s">
        <v>115</v>
      </c>
      <c r="N53">
        <f>N52/(1+Wacc!C16)^5</f>
        <v>1174422.0281197017</v>
      </c>
    </row>
    <row r="54" spans="1:17" x14ac:dyDescent="0.25">
      <c r="B54" s="5" t="s">
        <v>116</v>
      </c>
      <c r="N54">
        <f>SUM(J51:N51,N53)</f>
        <v>1464504.6598009579</v>
      </c>
    </row>
    <row r="55" spans="1:17" x14ac:dyDescent="0.25">
      <c r="A55" t="s">
        <v>3</v>
      </c>
      <c r="B55" s="5" t="s">
        <v>117</v>
      </c>
      <c r="N55">
        <f>Wacc!C2</f>
        <v>23607</v>
      </c>
    </row>
    <row r="56" spans="1:17" x14ac:dyDescent="0.25">
      <c r="A56" t="s">
        <v>109</v>
      </c>
      <c r="B56" s="5" t="s">
        <v>118</v>
      </c>
      <c r="N56">
        <v>21036</v>
      </c>
    </row>
    <row r="57" spans="1:17" x14ac:dyDescent="0.25">
      <c r="A57" t="s">
        <v>110</v>
      </c>
      <c r="B57" s="5" t="s">
        <v>119</v>
      </c>
      <c r="N57" s="5">
        <f>N54-N55+N56</f>
        <v>1461933.6598009579</v>
      </c>
    </row>
    <row r="59" spans="1:17" x14ac:dyDescent="0.25">
      <c r="B59" s="5" t="s">
        <v>120</v>
      </c>
      <c r="N59">
        <v>5820</v>
      </c>
      <c r="Q59" s="33" t="s">
        <v>124</v>
      </c>
    </row>
    <row r="60" spans="1:17" x14ac:dyDescent="0.25">
      <c r="B60" s="5" t="s">
        <v>121</v>
      </c>
      <c r="N60" s="35">
        <f>N57/N59</f>
        <v>251.19135048126424</v>
      </c>
    </row>
    <row r="62" spans="1:17" x14ac:dyDescent="0.25">
      <c r="A62" s="24"/>
      <c r="B62" s="25" t="s">
        <v>122</v>
      </c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1:17" x14ac:dyDescent="0.25">
      <c r="B63" s="5" t="s">
        <v>123</v>
      </c>
    </row>
    <row r="64" spans="1:17" x14ac:dyDescent="0.25">
      <c r="D64" s="29" t="s">
        <v>125</v>
      </c>
      <c r="E64" s="10">
        <v>7.3999999999999996E-2</v>
      </c>
      <c r="F64" s="10">
        <v>7.6499999999999999E-2</v>
      </c>
      <c r="G64" s="10">
        <v>7.9000000000000001E-2</v>
      </c>
      <c r="H64" s="10">
        <v>8.1500000000000003E-2</v>
      </c>
      <c r="I64" s="10">
        <v>8.4000000000000005E-2</v>
      </c>
      <c r="K64" s="29" t="s">
        <v>126</v>
      </c>
      <c r="L64" s="37">
        <f>E69</f>
        <v>311.75</v>
      </c>
    </row>
    <row r="65" spans="3:12" x14ac:dyDescent="0.25">
      <c r="C65" s="29"/>
      <c r="D65" s="34">
        <v>2.5000000000000001E-2</v>
      </c>
      <c r="E65">
        <v>256.33999999999997</v>
      </c>
      <c r="F65" s="35">
        <v>243.7</v>
      </c>
      <c r="G65">
        <v>232.23</v>
      </c>
      <c r="H65">
        <v>221.78</v>
      </c>
      <c r="I65">
        <v>212.21</v>
      </c>
      <c r="K65" s="29" t="s">
        <v>127</v>
      </c>
      <c r="L65" s="37">
        <f>G67</f>
        <v>251.87</v>
      </c>
    </row>
    <row r="66" spans="3:12" x14ac:dyDescent="0.25">
      <c r="D66" s="10">
        <v>2.75E-2</v>
      </c>
      <c r="E66">
        <v>267.95999999999998</v>
      </c>
      <c r="F66" s="35">
        <v>254.1</v>
      </c>
      <c r="G66">
        <v>241.58</v>
      </c>
      <c r="H66">
        <v>230.22</v>
      </c>
      <c r="I66">
        <v>219.86</v>
      </c>
      <c r="K66" s="29" t="s">
        <v>128</v>
      </c>
      <c r="L66" s="37">
        <f>I65</f>
        <v>212.21</v>
      </c>
    </row>
    <row r="67" spans="3:12" x14ac:dyDescent="0.25">
      <c r="D67" s="8">
        <v>0.03</v>
      </c>
      <c r="E67" s="35">
        <v>280.89999999999998</v>
      </c>
      <c r="F67" s="35">
        <v>265.60000000000002</v>
      </c>
      <c r="G67">
        <v>251.87</v>
      </c>
      <c r="H67">
        <v>239.47</v>
      </c>
      <c r="I67">
        <v>228.22</v>
      </c>
      <c r="K67" s="29" t="s">
        <v>129</v>
      </c>
      <c r="L67" t="s">
        <v>130</v>
      </c>
    </row>
    <row r="68" spans="3:12" x14ac:dyDescent="0.25">
      <c r="D68" s="10">
        <v>3.2500000000000001E-2</v>
      </c>
      <c r="E68">
        <v>295.39</v>
      </c>
      <c r="F68" s="35">
        <v>278.42</v>
      </c>
      <c r="G68">
        <v>263.27</v>
      </c>
      <c r="H68">
        <v>249.67</v>
      </c>
      <c r="I68">
        <v>237.39</v>
      </c>
    </row>
    <row r="69" spans="3:12" x14ac:dyDescent="0.25">
      <c r="D69" s="10">
        <v>3.5000000000000003E-2</v>
      </c>
      <c r="E69">
        <v>311.75</v>
      </c>
      <c r="F69" s="35">
        <v>292.77999999999997</v>
      </c>
      <c r="G69">
        <v>275.97000000000003</v>
      </c>
      <c r="H69">
        <v>260.97000000000003</v>
      </c>
      <c r="I69" s="35">
        <v>247.5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4149A-3F74-4CA2-AAEA-0DB8A0F2882A}">
  <dimension ref="A1:F18"/>
  <sheetViews>
    <sheetView zoomScale="90" zoomScaleNormal="90" workbookViewId="0">
      <selection activeCell="F18" sqref="F18"/>
    </sheetView>
  </sheetViews>
  <sheetFormatPr defaultRowHeight="15" x14ac:dyDescent="0.25"/>
  <cols>
    <col min="1" max="1" width="3.140625" customWidth="1"/>
    <col min="2" max="2" width="21.5703125" customWidth="1"/>
    <col min="3" max="3" width="22.5703125" bestFit="1" customWidth="1"/>
    <col min="6" max="6" width="20.42578125" bestFit="1" customWidth="1"/>
  </cols>
  <sheetData>
    <row r="1" spans="1:4" x14ac:dyDescent="0.25">
      <c r="A1" s="26" t="s">
        <v>93</v>
      </c>
      <c r="B1" s="27"/>
    </row>
    <row r="2" spans="1:4" x14ac:dyDescent="0.25">
      <c r="A2" s="28"/>
      <c r="B2" s="29" t="s">
        <v>94</v>
      </c>
      <c r="C2">
        <v>23607</v>
      </c>
    </row>
    <row r="3" spans="1:4" x14ac:dyDescent="0.25">
      <c r="A3" s="28"/>
      <c r="B3" s="29" t="s">
        <v>95</v>
      </c>
      <c r="C3" s="10">
        <v>3.2000000000000001E-2</v>
      </c>
    </row>
    <row r="4" spans="1:4" x14ac:dyDescent="0.25">
      <c r="A4" s="28"/>
      <c r="B4" s="29" t="s">
        <v>96</v>
      </c>
      <c r="C4" s="11">
        <f>C2/C14</f>
        <v>1.5881934798693601E-2</v>
      </c>
    </row>
    <row r="5" spans="1:4" x14ac:dyDescent="0.25">
      <c r="A5" s="28"/>
      <c r="B5" s="29" t="s">
        <v>97</v>
      </c>
      <c r="C5" s="8">
        <v>0.21</v>
      </c>
    </row>
    <row r="6" spans="1:4" x14ac:dyDescent="0.25">
      <c r="A6" s="28"/>
    </row>
    <row r="7" spans="1:4" x14ac:dyDescent="0.25">
      <c r="A7" s="28"/>
      <c r="B7" s="29" t="s">
        <v>98</v>
      </c>
      <c r="C7" s="23">
        <f>5820*251.34</f>
        <v>1462798.8</v>
      </c>
    </row>
    <row r="8" spans="1:4" x14ac:dyDescent="0.25">
      <c r="A8" s="28"/>
      <c r="B8" s="29" t="s">
        <v>99</v>
      </c>
      <c r="C8" s="8">
        <f>C10+C11*C12</f>
        <v>0.08</v>
      </c>
    </row>
    <row r="9" spans="1:4" x14ac:dyDescent="0.25">
      <c r="A9" s="28"/>
      <c r="B9" s="29" t="s">
        <v>100</v>
      </c>
      <c r="C9" s="11">
        <f>C7/C14</f>
        <v>0.9841180652013064</v>
      </c>
    </row>
    <row r="10" spans="1:4" x14ac:dyDescent="0.25">
      <c r="A10" s="28"/>
      <c r="B10" s="29" t="s">
        <v>101</v>
      </c>
      <c r="C10" s="10">
        <v>3.9800000000000002E-2</v>
      </c>
      <c r="D10" t="s">
        <v>106</v>
      </c>
    </row>
    <row r="11" spans="1:4" x14ac:dyDescent="0.25">
      <c r="A11" s="28"/>
      <c r="B11" s="29" t="s">
        <v>102</v>
      </c>
      <c r="C11">
        <v>1</v>
      </c>
    </row>
    <row r="12" spans="1:4" x14ac:dyDescent="0.25">
      <c r="A12" s="28"/>
      <c r="B12" s="29" t="s">
        <v>103</v>
      </c>
      <c r="C12" s="10">
        <f>8%-C10</f>
        <v>4.02E-2</v>
      </c>
    </row>
    <row r="13" spans="1:4" x14ac:dyDescent="0.25">
      <c r="A13" s="28"/>
    </row>
    <row r="14" spans="1:4" x14ac:dyDescent="0.25">
      <c r="A14" s="28"/>
      <c r="B14" s="29" t="s">
        <v>104</v>
      </c>
      <c r="C14" s="23">
        <f>C2+C7</f>
        <v>1486405.8</v>
      </c>
    </row>
    <row r="15" spans="1:4" x14ac:dyDescent="0.25">
      <c r="A15" s="28"/>
    </row>
    <row r="16" spans="1:4" x14ac:dyDescent="0.25">
      <c r="A16" s="28"/>
      <c r="B16" s="29" t="s">
        <v>105</v>
      </c>
      <c r="C16" s="11">
        <f>C8*C9+C3*C4*(1-C5)</f>
        <v>7.9130940527815496E-2</v>
      </c>
    </row>
    <row r="17" spans="2:6" x14ac:dyDescent="0.25">
      <c r="F17" s="36"/>
    </row>
    <row r="18" spans="2:6" x14ac:dyDescent="0.25">
      <c r="B18" t="s">
        <v>114</v>
      </c>
      <c r="C18" s="9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Comparable Analysis</vt:lpstr>
      <vt:lpstr>Scenarios</vt:lpstr>
      <vt:lpstr>Financial Modeling + DCF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Bryam Alvarado</dc:creator>
  <cp:lastModifiedBy>Bryam Alvarado</cp:lastModifiedBy>
  <dcterms:created xsi:type="dcterms:W3CDTF">2025-10-15T02:34:45Z</dcterms:created>
  <dcterms:modified xsi:type="dcterms:W3CDTF">2025-11-07T16:01:47Z</dcterms:modified>
</cp:coreProperties>
</file>